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ocuments\Avis Wizard\WizardAPI\Data\"/>
    </mc:Choice>
  </mc:AlternateContent>
  <xr:revisionPtr revIDLastSave="0" documentId="13_ncr:1_{68C3B350-7F93-4A62-A86D-48D37341E1A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dated_Data" sheetId="2" r:id="rId1"/>
    <sheet name="Billigst_til_Dyrest" sheetId="1" r:id="rId2"/>
  </sheets>
  <definedNames>
    <definedName name="ExternalData_1" localSheetId="0" hidden="1">Updated_Data!$B$3:$F$13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 a="1"/>
  <c r="L3" i="1" s="1"/>
  <c r="I3" i="1" a="1"/>
  <c r="I3" i="1" s="1"/>
  <c r="F3" i="1" a="1"/>
  <c r="F3" i="1" s="1"/>
  <c r="C3" i="1" a="1"/>
  <c r="C3" i="1" s="1"/>
  <c r="K3" i="1" a="1"/>
  <c r="K3" i="1" s="1"/>
  <c r="H3" i="1" a="1"/>
  <c r="H3" i="1" s="1"/>
  <c r="E3" i="1" a="1"/>
  <c r="E3" i="1" s="1"/>
  <c r="B3" i="1" a="1"/>
  <c r="B3" i="1" s="1"/>
  <c r="I3" i="2" a="1"/>
  <c r="I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CD4647-A628-4DCB-9533-75DD3F08516C}" keepAlive="1" name="Query - Updated_Data" description="Connection to the 'Updated_Data' query in the workbook." type="5" refreshedVersion="8" background="1" saveData="1">
    <dbPr connection="Provider=Microsoft.Mashup.OleDb.1;Data Source=$Workbook$;Location=Updated_Data;Extended Properties=&quot;&quot;" command="SELECT * FROM [Updated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<sst xmlns="http://schemas.openxmlformats.org/spreadsheetml/2006/main" count="20" uniqueCount="16">
  <si>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LOR</t>
  </si>
  <si>
    <t>4</t>
  </si>
  <si>
    <t>5</t>
  </si>
  <si>
    <t>14</t>
  </si>
  <si>
    <t>21</t>
  </si>
  <si>
    <t>B</t>
  </si>
  <si>
    <t>C</t>
  </si>
  <si>
    <t>D</t>
  </si>
  <si>
    <t>E</t>
  </si>
  <si>
    <t>H</t>
  </si>
  <si>
    <t>G</t>
  </si>
  <si>
    <t>I</t>
  </si>
  <si>
    <t>K</t>
  </si>
  <si>
    <t>M</t>
  </si>
  <si>
    <t>N</t>
  </si>
  <si>
    <t>Click me to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</si>
</sst>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kr&quot;\ * #,##0.00_-;\-&quot;kr&quot;\ * #,##0.00_-;_-&quot;kr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8">
    <xf numFmtId="0" fontId="0" fillId="0" borderId="0" xfId="0"/>
    <xf numFmtId="44" fontId="0" fillId="0" borderId="0" xfId="0" applyNumberFormat="1"/>
    <xf numFmtId="0" fontId="1" fillId="5" borderId="0" xfId="4"/>
    <xf numFmtId="0" fontId="4" fillId="2" borderId="0" xfId="1" applyFont="1"/>
    <xf numFmtId="0" fontId="1" fillId="4" borderId="2" xfId="3" applyBorder="1"/>
    <xf numFmtId="44" fontId="1" fillId="4" borderId="2" xfId="3" applyNumberFormat="1" applyBorder="1"/>
    <xf numFmtId="0" fontId="1" fillId="6" borderId="2" xfId="5" applyBorder="1"/>
    <xf numFmtId="0" fontId="3" fillId="3" borderId="1" xfId="2" applyAlignment="1">
      <alignment horizontal="center"/>
    </xf>
  </cellXfs>
  <cellStyles count="6">
    <cellStyle name="20% - Accent1" xfId="3" builtinId="30"/>
    <cellStyle name="40% - Accent1" xfId="4" builtinId="31"/>
    <cellStyle name="60% - Accent1" xfId="5" builtinId="32"/>
    <cellStyle name="Input" xfId="2" builtinId="20"/>
    <cellStyle name="Neutral" xfId="1" builtinId="28"/>
    <cellStyle name="Normal" xfId="0" builtinId="0"/>
  </cellStyles>
  <dxfs count="5"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Price</a:t>
            </a:r>
            <a:r>
              <a:rPr lang="nb-NO" baseline="0"/>
              <a:t>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Updated_Data!$J$3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Updated_Data!$J$4:$J$7</c:f>
              <c:numCache>
                <c:formatCode>_("kr"* #,##0.00_);_("kr"* \(#,##0.00\);_("kr"* "-"??_);_(@_)</c:formatCode>
                <c:ptCount val="4"/>
                <c:pt idx="0">
                  <c:v>10664.88</c:v>
                </c:pt>
                <c:pt idx="1">
                  <c:v>9411.33</c:v>
                </c:pt>
                <c:pt idx="2">
                  <c:v>18822.650000000001</c:v>
                </c:pt>
                <c:pt idx="3">
                  <c:v>27528.19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1-49D9-A7B1-BBE24C379410}"/>
            </c:ext>
          </c:extLst>
        </c:ser>
        <c:ser>
          <c:idx val="1"/>
          <c:order val="1"/>
          <c:tx>
            <c:strRef>
              <c:f>Updated_Data!$K$3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Updated_Data!$K$4:$K$7</c:f>
              <c:numCache>
                <c:formatCode>_("kr"* #,##0.00_);_("kr"* \(#,##0.00\);_("kr"* "-"??_);_(@_)</c:formatCode>
                <c:ptCount val="4"/>
                <c:pt idx="0">
                  <c:v>10241.1</c:v>
                </c:pt>
                <c:pt idx="1">
                  <c:v>9021.84</c:v>
                </c:pt>
                <c:pt idx="2">
                  <c:v>18043.68</c:v>
                </c:pt>
                <c:pt idx="3">
                  <c:v>26388.89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21-49D9-A7B1-BBE24C379410}"/>
            </c:ext>
          </c:extLst>
        </c:ser>
        <c:ser>
          <c:idx val="2"/>
          <c:order val="2"/>
          <c:tx>
            <c:strRef>
              <c:f>Updated_Data!$L$3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Updated_Data!$L$4:$L$7</c:f>
              <c:numCache>
                <c:formatCode>_("kr"* #,##0.00_);_("kr"* \(#,##0.00\);_("kr"* "-"??_);_(@_)</c:formatCode>
                <c:ptCount val="4"/>
                <c:pt idx="0">
                  <c:v>12289.31</c:v>
                </c:pt>
                <c:pt idx="1">
                  <c:v>10826.18</c:v>
                </c:pt>
                <c:pt idx="2">
                  <c:v>21652.36</c:v>
                </c:pt>
                <c:pt idx="3">
                  <c:v>31666.62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21-49D9-A7B1-BBE24C379410}"/>
            </c:ext>
          </c:extLst>
        </c:ser>
        <c:ser>
          <c:idx val="3"/>
          <c:order val="3"/>
          <c:tx>
            <c:strRef>
              <c:f>Updated_Data!$M$3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Updated_Data!$M$4:$M$7</c:f>
              <c:numCache>
                <c:formatCode>_("kr"* #,##0.00_);_("kr"* \(#,##0.00\);_("kr"* "-"??_);_(@_)</c:formatCode>
                <c:ptCount val="4"/>
                <c:pt idx="0">
                  <c:v>13852.5</c:v>
                </c:pt>
                <c:pt idx="1">
                  <c:v>11852.31</c:v>
                </c:pt>
                <c:pt idx="2">
                  <c:v>23704.6</c:v>
                </c:pt>
                <c:pt idx="3">
                  <c:v>34667.949999999997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21-49D9-A7B1-BBE24C379410}"/>
            </c:ext>
          </c:extLst>
        </c:ser>
        <c:ser>
          <c:idx val="4"/>
          <c:order val="4"/>
          <c:tx>
            <c:strRef>
              <c:f>Updated_Data!$N$3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Updated_Data!$N$4:$N$7</c:f>
              <c:numCache>
                <c:formatCode>_("kr"* #,##0.00_);_("kr"* \(#,##0.00\);_("kr"* "-"??_);_(@_)</c:formatCode>
                <c:ptCount val="4"/>
                <c:pt idx="0">
                  <c:v>15557.11</c:v>
                </c:pt>
                <c:pt idx="1">
                  <c:v>17354.689999999999</c:v>
                </c:pt>
                <c:pt idx="2">
                  <c:v>34709.42</c:v>
                </c:pt>
                <c:pt idx="3">
                  <c:v>50762.45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21-49D9-A7B1-BBE24C379410}"/>
            </c:ext>
          </c:extLst>
        </c:ser>
        <c:ser>
          <c:idx val="5"/>
          <c:order val="5"/>
          <c:tx>
            <c:strRef>
              <c:f>Updated_Data!$O$3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Updated_Data!$O$4:$O$7</c:f>
              <c:numCache>
                <c:formatCode>_("kr"* #,##0.00_);_("kr"* \(#,##0.00\);_("kr"* "-"??_);_(@_)</c:formatCode>
                <c:ptCount val="4"/>
                <c:pt idx="0">
                  <c:v>12658.57</c:v>
                </c:pt>
                <c:pt idx="1">
                  <c:v>11104.74</c:v>
                </c:pt>
                <c:pt idx="2">
                  <c:v>22209.48</c:v>
                </c:pt>
                <c:pt idx="3">
                  <c:v>32481.39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21-49D9-A7B1-BBE24C379410}"/>
            </c:ext>
          </c:extLst>
        </c:ser>
        <c:ser>
          <c:idx val="6"/>
          <c:order val="6"/>
          <c:tx>
            <c:strRef>
              <c:f>Updated_Data!$P$3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Updated_Data!$P$4:$P$7</c:f>
              <c:numCache>
                <c:formatCode>_("kr"* #,##0.00_);_("kr"* \(#,##0.00\);_("kr"* "-"??_);_(@_)</c:formatCode>
                <c:ptCount val="4"/>
                <c:pt idx="0">
                  <c:v>10214.77</c:v>
                </c:pt>
                <c:pt idx="1">
                  <c:v>8968.2800000000007</c:v>
                </c:pt>
                <c:pt idx="2">
                  <c:v>17936.53</c:v>
                </c:pt>
                <c:pt idx="3">
                  <c:v>26232.15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21-49D9-A7B1-BBE24C379410}"/>
            </c:ext>
          </c:extLst>
        </c:ser>
        <c:ser>
          <c:idx val="7"/>
          <c:order val="7"/>
          <c:tx>
            <c:strRef>
              <c:f>Updated_Data!$Q$3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Updated_Data!$Q$4:$Q$7</c:f>
              <c:numCache>
                <c:formatCode>_("kr"* #,##0.00_);_("kr"* \(#,##0.00\);_("kr"* "-"??_);_(@_)</c:formatCode>
                <c:ptCount val="4"/>
                <c:pt idx="0">
                  <c:v>14269.39</c:v>
                </c:pt>
                <c:pt idx="1">
                  <c:v>12492.01</c:v>
                </c:pt>
                <c:pt idx="2">
                  <c:v>24984.01</c:v>
                </c:pt>
                <c:pt idx="3">
                  <c:v>36539.14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21-49D9-A7B1-BBE24C379410}"/>
            </c:ext>
          </c:extLst>
        </c:ser>
        <c:ser>
          <c:idx val="8"/>
          <c:order val="8"/>
          <c:tx>
            <c:strRef>
              <c:f>Updated_Data!$R$3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Updated_Data!$R$4:$R$7</c:f>
              <c:numCache>
                <c:formatCode>_("kr"* #,##0.00_);_("kr"* \(#,##0.00\);_("kr"* "-"??_);_(@_)</c:formatCode>
                <c:ptCount val="4"/>
                <c:pt idx="0">
                  <c:v>18236.54</c:v>
                </c:pt>
                <c:pt idx="1">
                  <c:v>15481.71</c:v>
                </c:pt>
                <c:pt idx="2">
                  <c:v>30963.4</c:v>
                </c:pt>
                <c:pt idx="3">
                  <c:v>45283.91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21-49D9-A7B1-BBE24C379410}"/>
            </c:ext>
          </c:extLst>
        </c:ser>
        <c:ser>
          <c:idx val="9"/>
          <c:order val="9"/>
          <c:tx>
            <c:strRef>
              <c:f>Updated_Data!$S$3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Updated_Data!$I$4:$I$7</c:f>
              <c:strCache>
                <c:ptCount val="4"/>
                <c:pt idx="0">
                  <c:v>4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</c:strCache>
            </c:strRef>
          </c:cat>
          <c:val>
            <c:numRef>
              <c:f>Updated_Data!$S$4:$S$7</c:f>
              <c:numCache>
                <c:formatCode>_("kr"* #,##0.00_);_("kr"* \(#,##0.00\);_("kr"* "-"??_);_(@_)</c:formatCode>
                <c:ptCount val="4"/>
                <c:pt idx="0">
                  <c:v>22277.03</c:v>
                </c:pt>
                <c:pt idx="1">
                  <c:v>18896.72</c:v>
                </c:pt>
                <c:pt idx="2">
                  <c:v>37793.43</c:v>
                </c:pt>
                <c:pt idx="3">
                  <c:v>55272.86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21-49D9-A7B1-BBE24C3794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3748848"/>
        <c:axId val="1653751728"/>
      </c:barChart>
      <c:catAx>
        <c:axId val="165374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51728"/>
        <c:crosses val="autoZero"/>
        <c:auto val="1"/>
        <c:lblAlgn val="ctr"/>
        <c:lblOffset val="100"/>
        <c:noMultiLvlLbl val="0"/>
      </c:catAx>
      <c:valAx>
        <c:axId val="165375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kr&quot;* #,##0.00_);_(&quot;kr&quot;* \(#,##0.00\);_(&quot;kr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4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19</xdr:col>
      <xdr:colOff>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B9548-9C65-4B75-8C3B-8DCD5CB61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419100</xdr:colOff>
      <xdr:row>16</xdr:row>
      <xdr:rowOff>19050</xdr:rowOff>
    </xdr:from>
    <xdr:to>
      <xdr:col>3</xdr:col>
      <xdr:colOff>504825</xdr:colOff>
      <xdr:row>20</xdr:row>
      <xdr:rowOff>180975</xdr:rowOff>
    </xdr:to>
    <xdr:pic macro="[0]!RefreshAll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A44C7409-5912-D880-8775-5715B89C5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14450" y="3067050"/>
          <a:ext cx="923925" cy="9239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74FFDF7-60A2-4D3B-9085-7691C875EC17}" autoFormatId="16" applyNumberFormats="0" applyBorderFormats="0" applyFontFormats="0" applyPatternFormats="0" applyAlignmentFormats="0" applyWidthHeightFormats="0">
  <queryTableRefresh nextId="6">
    <queryTableFields count="5">
      <queryTableField id="1" name="LOR" tableColumnId="1"/>
      <queryTableField id="2" name="4" tableColumnId="2"/>
      <queryTableField id="3" name="5" tableColumnId="3"/>
      <queryTableField id="4" name="14" tableColumnId="4"/>
      <queryTableField id="5" name="21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EB0EF-D06B-416F-981A-37F37AA1538F}" name="Updated_Data" displayName="Updated_Data" ref="B3:F13" tableType="queryTable" totalsRowShown="0">
  <autoFilter ref="B3:F13" xr:uid="{96AEB0EF-D06B-416F-981A-37F37AA1538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B125AD7-0838-4537-A2D5-7E2FCD19172A}" uniqueName="1" name="LOR" queryTableFieldId="1" dataDxfId="4"/>
    <tableColumn id="2" xr3:uid="{FCC85D3B-7CAE-464E-8BC2-41E77A532F10}" uniqueName="2" name="4" queryTableFieldId="2" dataDxfId="3"/>
    <tableColumn id="3" xr3:uid="{D47B765A-5901-4B91-904B-2A564D1DDBE1}" uniqueName="3" name="5" queryTableFieldId="3" dataDxfId="2"/>
    <tableColumn id="4" xr3:uid="{0509FBB7-5AEB-4142-8CE2-24B13DA4C06F}" uniqueName="4" name="14" queryTableFieldId="4" dataDxfId="1"/>
    <tableColumn id="5" xr3:uid="{B44B9A52-631A-4344-B21D-9EB974764095}" uniqueName="5" name="21" queryTableFieldId="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1FB7A-2F56-490D-B302-8FD066910005}">
  <sheetPr codeName="Sheet1"/>
  <dimension ref="B3:S16"/>
  <sheetViews>
    <sheetView tabSelected="1" workbookViewId="0">
      <selection activeCell="F21" sqref="F21"/>
    </sheetView>
  </sheetViews>
  <sheetFormatPr defaultRowHeight="15" x14ac:dyDescent="0.25"/>
  <cols>
    <col min="1" max="2" width="6.7109375" bestFit="1" customWidth="1"/>
    <col min="3" max="6" width="12.5703125" bestFit="1" customWidth="1"/>
    <col min="10" max="19" width="12.5703125" bestFit="1" customWidth="1"/>
  </cols>
  <sheetData>
    <row r="3" spans="2:19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I3" s="3" t="str" cm="1">
        <f t="array" ref="I3:S7">TRANSPOSE(Updated_Data[#All])</f>
        <v>LOR</v>
      </c>
      <c r="J3" s="2" t="str">
        <v>B</v>
      </c>
      <c r="K3" s="2" t="str">
        <v>C</v>
      </c>
      <c r="L3" s="2" t="str">
        <v>D</v>
      </c>
      <c r="M3" s="2" t="str">
        <v>E</v>
      </c>
      <c r="N3" s="2" t="str">
        <v>H</v>
      </c>
      <c r="O3" s="2" t="str">
        <v>G</v>
      </c>
      <c r="P3" s="2" t="str">
        <v>I</v>
      </c>
      <c r="Q3" s="2" t="str">
        <v>K</v>
      </c>
      <c r="R3" s="2" t="str">
        <v>M</v>
      </c>
      <c r="S3" s="2" t="str">
        <v>N</v>
      </c>
    </row>
    <row r="4" spans="2:19" x14ac:dyDescent="0.25">
      <c r="B4" t="s">
        <v>5</v>
      </c>
      <c r="C4" s="1">
        <v>10664.88</v>
      </c>
      <c r="D4" s="1">
        <v>9411.33</v>
      </c>
      <c r="E4" s="1">
        <v>18822.650000000001</v>
      </c>
      <c r="F4" s="1">
        <v>27528.19</v>
      </c>
      <c r="I4" s="3" t="str">
        <v>4</v>
      </c>
      <c r="J4" s="1">
        <v>10664.88</v>
      </c>
      <c r="K4" s="1">
        <v>10241.1</v>
      </c>
      <c r="L4" s="1">
        <v>12289.31</v>
      </c>
      <c r="M4" s="1">
        <v>13852.5</v>
      </c>
      <c r="N4" s="1">
        <v>15557.11</v>
      </c>
      <c r="O4" s="1">
        <v>12658.57</v>
      </c>
      <c r="P4" s="1">
        <v>10214.77</v>
      </c>
      <c r="Q4" s="1">
        <v>14269.39</v>
      </c>
      <c r="R4" s="1">
        <v>18236.54</v>
      </c>
      <c r="S4" s="1">
        <v>22277.03</v>
      </c>
    </row>
    <row r="5" spans="2:19" x14ac:dyDescent="0.25">
      <c r="B5" t="s">
        <v>6</v>
      </c>
      <c r="C5" s="1">
        <v>10241.1</v>
      </c>
      <c r="D5" s="1">
        <v>9021.84</v>
      </c>
      <c r="E5" s="1">
        <v>18043.68</v>
      </c>
      <c r="F5" s="1">
        <v>26388.89</v>
      </c>
      <c r="I5" s="3" t="str">
        <v>5</v>
      </c>
      <c r="J5" s="1">
        <v>9411.33</v>
      </c>
      <c r="K5" s="1">
        <v>9021.84</v>
      </c>
      <c r="L5" s="1">
        <v>10826.18</v>
      </c>
      <c r="M5" s="1">
        <v>11852.31</v>
      </c>
      <c r="N5" s="1">
        <v>17354.689999999999</v>
      </c>
      <c r="O5" s="1">
        <v>11104.74</v>
      </c>
      <c r="P5" s="1">
        <v>8968.2800000000007</v>
      </c>
      <c r="Q5" s="1">
        <v>12492.01</v>
      </c>
      <c r="R5" s="1">
        <v>15481.71</v>
      </c>
      <c r="S5" s="1">
        <v>18896.72</v>
      </c>
    </row>
    <row r="6" spans="2:19" x14ac:dyDescent="0.25">
      <c r="B6" t="s">
        <v>7</v>
      </c>
      <c r="C6" s="1">
        <v>12289.31</v>
      </c>
      <c r="D6" s="1">
        <v>10826.18</v>
      </c>
      <c r="E6" s="1">
        <v>21652.36</v>
      </c>
      <c r="F6" s="1">
        <v>31666.62</v>
      </c>
      <c r="I6" s="3" t="str">
        <v>14</v>
      </c>
      <c r="J6" s="1">
        <v>18822.650000000001</v>
      </c>
      <c r="K6" s="1">
        <v>18043.68</v>
      </c>
      <c r="L6" s="1">
        <v>21652.36</v>
      </c>
      <c r="M6" s="1">
        <v>23704.6</v>
      </c>
      <c r="N6" s="1">
        <v>34709.42</v>
      </c>
      <c r="O6" s="1">
        <v>22209.48</v>
      </c>
      <c r="P6" s="1">
        <v>17936.53</v>
      </c>
      <c r="Q6" s="1">
        <v>24984.01</v>
      </c>
      <c r="R6" s="1">
        <v>30963.4</v>
      </c>
      <c r="S6" s="1">
        <v>37793.43</v>
      </c>
    </row>
    <row r="7" spans="2:19" x14ac:dyDescent="0.25">
      <c r="B7" t="s">
        <v>8</v>
      </c>
      <c r="C7" s="1">
        <v>13852.5</v>
      </c>
      <c r="D7" s="1">
        <v>11852.31</v>
      </c>
      <c r="E7" s="1">
        <v>23704.6</v>
      </c>
      <c r="F7" s="1">
        <v>34667.949999999997</v>
      </c>
      <c r="I7" s="3" t="str">
        <v>21</v>
      </c>
      <c r="J7" s="1">
        <v>27528.19</v>
      </c>
      <c r="K7" s="1">
        <v>26388.89</v>
      </c>
      <c r="L7" s="1">
        <v>31666.62</v>
      </c>
      <c r="M7" s="1">
        <v>34667.949999999997</v>
      </c>
      <c r="N7" s="1">
        <v>50762.45</v>
      </c>
      <c r="O7" s="1">
        <v>32481.39</v>
      </c>
      <c r="P7" s="1">
        <v>26232.15</v>
      </c>
      <c r="Q7" s="1">
        <v>36539.14</v>
      </c>
      <c r="R7" s="1">
        <v>45283.91</v>
      </c>
      <c r="S7" s="1">
        <v>55272.86</v>
      </c>
    </row>
    <row r="8" spans="2:19" x14ac:dyDescent="0.25">
      <c r="B8" t="s">
        <v>9</v>
      </c>
      <c r="C8" s="1">
        <v>15557.11</v>
      </c>
      <c r="D8" s="1">
        <v>17354.689999999999</v>
      </c>
      <c r="E8" s="1">
        <v>34709.42</v>
      </c>
      <c r="F8" s="1">
        <v>50762.45</v>
      </c>
    </row>
    <row r="9" spans="2:19" x14ac:dyDescent="0.25">
      <c r="B9" t="s">
        <v>10</v>
      </c>
      <c r="C9" s="1">
        <v>12658.57</v>
      </c>
      <c r="D9" s="1">
        <v>11104.74</v>
      </c>
      <c r="E9" s="1">
        <v>22209.48</v>
      </c>
      <c r="F9" s="1">
        <v>32481.39</v>
      </c>
    </row>
    <row r="10" spans="2:19" x14ac:dyDescent="0.25">
      <c r="B10" t="s">
        <v>11</v>
      </c>
      <c r="C10" s="1">
        <v>10214.77</v>
      </c>
      <c r="D10" s="1">
        <v>8968.2800000000007</v>
      </c>
      <c r="E10" s="1">
        <v>17936.53</v>
      </c>
      <c r="F10" s="1">
        <v>26232.15</v>
      </c>
    </row>
    <row r="11" spans="2:19" x14ac:dyDescent="0.25">
      <c r="B11" t="s">
        <v>12</v>
      </c>
      <c r="C11" s="1">
        <v>14269.39</v>
      </c>
      <c r="D11" s="1">
        <v>12492.01</v>
      </c>
      <c r="E11" s="1">
        <v>24984.01</v>
      </c>
      <c r="F11" s="1">
        <v>36539.14</v>
      </c>
    </row>
    <row r="12" spans="2:19" x14ac:dyDescent="0.25">
      <c r="B12" t="s">
        <v>13</v>
      </c>
      <c r="C12" s="1">
        <v>18236.54</v>
      </c>
      <c r="D12" s="1">
        <v>15481.71</v>
      </c>
      <c r="E12" s="1">
        <v>30963.4</v>
      </c>
      <c r="F12" s="1">
        <v>45283.91</v>
      </c>
    </row>
    <row r="13" spans="2:19" x14ac:dyDescent="0.25">
      <c r="B13" t="s">
        <v>14</v>
      </c>
      <c r="C13" s="1">
        <v>22277.03</v>
      </c>
      <c r="D13" s="1">
        <v>18896.72</v>
      </c>
      <c r="E13" s="1">
        <v>37793.43</v>
      </c>
      <c r="F13" s="1">
        <v>55272.86</v>
      </c>
    </row>
    <row r="16" spans="2:19" x14ac:dyDescent="0.25">
      <c r="C16" s="7" t="s">
        <v>15</v>
      </c>
      <c r="D16" s="7"/>
    </row>
  </sheetData>
  <mergeCells count="1">
    <mergeCell ref="C16:D16"/>
  </mergeCells>
  <conditionalFormatting sqref="C4:C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:D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S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:S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S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S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L12"/>
  <sheetViews>
    <sheetView workbookViewId="0">
      <selection activeCell="B5" sqref="B5"/>
    </sheetView>
  </sheetViews>
  <sheetFormatPr defaultRowHeight="15" x14ac:dyDescent="0.25"/>
  <cols>
    <col min="3" max="3" width="12.5703125" bestFit="1" customWidth="1"/>
    <col min="6" max="6" width="12.5703125" bestFit="1" customWidth="1"/>
    <col min="9" max="9" width="12.5703125" bestFit="1" customWidth="1"/>
    <col min="12" max="12" width="12.5703125" bestFit="1" customWidth="1"/>
  </cols>
  <sheetData>
    <row r="2" spans="2:12" x14ac:dyDescent="0.25">
      <c r="B2" s="6" t="s">
        <v>0</v>
      </c>
      <c r="C2" s="6">
        <v>4</v>
      </c>
      <c r="E2" s="6" t="s">
        <v>0</v>
      </c>
      <c r="F2" s="6">
        <v>5</v>
      </c>
      <c r="H2" s="6" t="s">
        <v>0</v>
      </c>
      <c r="I2" s="6">
        <v>14</v>
      </c>
      <c r="K2" s="6" t="s">
        <v>0</v>
      </c>
      <c r="L2" s="6">
        <v>21</v>
      </c>
    </row>
    <row r="3" spans="2:12" x14ac:dyDescent="0.25">
      <c r="B3" s="4" t="str" cm="1">
        <f t="array" ref="B3:B12">_xlfn.SORTBY(Updated_Data[LOR],Updated_Data[4],1)</f>
        <v>I</v>
      </c>
      <c r="C3" s="5" cm="1">
        <f t="array" ref="C3:C12">_xlfn._xlws.SORT(Updated_Data[4],1,TRUE)</f>
        <v>10214.77</v>
      </c>
      <c r="E3" s="4" t="str" cm="1">
        <f t="array" ref="E3:E12">_xlfn.SORTBY(Updated_Data[LOR],Updated_Data[5],1)</f>
        <v>I</v>
      </c>
      <c r="F3" s="5" cm="1">
        <f t="array" ref="F3:F12">_xlfn._xlws.SORT(Updated_Data[5],1,TRUE)</f>
        <v>8968.2800000000007</v>
      </c>
      <c r="H3" s="4" t="str" cm="1">
        <f t="array" ref="H3:H12">_xlfn.SORTBY(Updated_Data[LOR],Updated_Data[14],1)</f>
        <v>I</v>
      </c>
      <c r="I3" s="5" cm="1">
        <f t="array" ref="I3:I12">_xlfn._xlws.SORT(Updated_Data[14],1,TRUE)</f>
        <v>17936.53</v>
      </c>
      <c r="K3" s="4" t="str" cm="1">
        <f t="array" ref="K3:K12">_xlfn.SORTBY(Updated_Data[LOR],Updated_Data[21],1)</f>
        <v>I</v>
      </c>
      <c r="L3" s="5" cm="1">
        <f t="array" ref="L3:L12">_xlfn._xlws.SORT(Updated_Data[21],1,TRUE)</f>
        <v>26232.15</v>
      </c>
    </row>
    <row r="4" spans="2:12" x14ac:dyDescent="0.25">
      <c r="B4" s="4" t="str">
        <v>C</v>
      </c>
      <c r="C4" s="5">
        <v>10241.1</v>
      </c>
      <c r="E4" s="4" t="str">
        <v>C</v>
      </c>
      <c r="F4" s="5">
        <v>9021.84</v>
      </c>
      <c r="H4" s="4" t="str">
        <v>C</v>
      </c>
      <c r="I4" s="5">
        <v>18043.68</v>
      </c>
      <c r="K4" s="4" t="str">
        <v>C</v>
      </c>
      <c r="L4" s="5">
        <v>26388.89</v>
      </c>
    </row>
    <row r="5" spans="2:12" x14ac:dyDescent="0.25">
      <c r="B5" s="4" t="str">
        <v>B</v>
      </c>
      <c r="C5" s="5">
        <v>10664.88</v>
      </c>
      <c r="E5" s="4" t="str">
        <v>B</v>
      </c>
      <c r="F5" s="5">
        <v>9411.33</v>
      </c>
      <c r="H5" s="4" t="str">
        <v>B</v>
      </c>
      <c r="I5" s="5">
        <v>18822.650000000001</v>
      </c>
      <c r="K5" s="4" t="str">
        <v>B</v>
      </c>
      <c r="L5" s="5">
        <v>27528.19</v>
      </c>
    </row>
    <row r="6" spans="2:12" x14ac:dyDescent="0.25">
      <c r="B6" s="4" t="str">
        <v>D</v>
      </c>
      <c r="C6" s="5">
        <v>12289.31</v>
      </c>
      <c r="E6" s="4" t="str">
        <v>D</v>
      </c>
      <c r="F6" s="5">
        <v>10826.18</v>
      </c>
      <c r="H6" s="4" t="str">
        <v>D</v>
      </c>
      <c r="I6" s="5">
        <v>21652.36</v>
      </c>
      <c r="K6" s="4" t="str">
        <v>D</v>
      </c>
      <c r="L6" s="5">
        <v>31666.62</v>
      </c>
    </row>
    <row r="7" spans="2:12" x14ac:dyDescent="0.25">
      <c r="B7" s="4" t="str">
        <v>G</v>
      </c>
      <c r="C7" s="5">
        <v>12658.57</v>
      </c>
      <c r="E7" s="4" t="str">
        <v>G</v>
      </c>
      <c r="F7" s="5">
        <v>11104.74</v>
      </c>
      <c r="H7" s="4" t="str">
        <v>G</v>
      </c>
      <c r="I7" s="5">
        <v>22209.48</v>
      </c>
      <c r="K7" s="4" t="str">
        <v>G</v>
      </c>
      <c r="L7" s="5">
        <v>32481.39</v>
      </c>
    </row>
    <row r="8" spans="2:12" x14ac:dyDescent="0.25">
      <c r="B8" s="4" t="str">
        <v>E</v>
      </c>
      <c r="C8" s="5">
        <v>13852.5</v>
      </c>
      <c r="E8" s="4" t="str">
        <v>E</v>
      </c>
      <c r="F8" s="5">
        <v>11852.31</v>
      </c>
      <c r="H8" s="4" t="str">
        <v>E</v>
      </c>
      <c r="I8" s="5">
        <v>23704.6</v>
      </c>
      <c r="K8" s="4" t="str">
        <v>E</v>
      </c>
      <c r="L8" s="5">
        <v>34667.949999999997</v>
      </c>
    </row>
    <row r="9" spans="2:12" x14ac:dyDescent="0.25">
      <c r="B9" s="4" t="str">
        <v>K</v>
      </c>
      <c r="C9" s="5">
        <v>14269.39</v>
      </c>
      <c r="E9" s="4" t="str">
        <v>K</v>
      </c>
      <c r="F9" s="5">
        <v>12492.01</v>
      </c>
      <c r="H9" s="4" t="str">
        <v>K</v>
      </c>
      <c r="I9" s="5">
        <v>24984.01</v>
      </c>
      <c r="K9" s="4" t="str">
        <v>K</v>
      </c>
      <c r="L9" s="5">
        <v>36539.14</v>
      </c>
    </row>
    <row r="10" spans="2:12" x14ac:dyDescent="0.25">
      <c r="B10" s="4" t="str">
        <v>H</v>
      </c>
      <c r="C10" s="5">
        <v>15557.11</v>
      </c>
      <c r="E10" s="4" t="str">
        <v>M</v>
      </c>
      <c r="F10" s="5">
        <v>15481.71</v>
      </c>
      <c r="H10" s="4" t="str">
        <v>M</v>
      </c>
      <c r="I10" s="5">
        <v>30963.4</v>
      </c>
      <c r="K10" s="4" t="str">
        <v>M</v>
      </c>
      <c r="L10" s="5">
        <v>45283.91</v>
      </c>
    </row>
    <row r="11" spans="2:12" x14ac:dyDescent="0.25">
      <c r="B11" s="4" t="str">
        <v>M</v>
      </c>
      <c r="C11" s="5">
        <v>18236.54</v>
      </c>
      <c r="E11" s="4" t="str">
        <v>H</v>
      </c>
      <c r="F11" s="5">
        <v>17354.689999999999</v>
      </c>
      <c r="H11" s="4" t="str">
        <v>H</v>
      </c>
      <c r="I11" s="5">
        <v>34709.42</v>
      </c>
      <c r="K11" s="4" t="str">
        <v>H</v>
      </c>
      <c r="L11" s="5">
        <v>50762.45</v>
      </c>
    </row>
    <row r="12" spans="2:12" x14ac:dyDescent="0.25">
      <c r="B12" s="4" t="str">
        <v>N</v>
      </c>
      <c r="C12" s="5">
        <v>22277.03</v>
      </c>
      <c r="E12" s="4" t="str">
        <v>N</v>
      </c>
      <c r="F12" s="5">
        <v>18896.72</v>
      </c>
      <c r="H12" s="4" t="str">
        <v>N</v>
      </c>
      <c r="I12" s="5">
        <v>37793.43</v>
      </c>
      <c r="K12" s="4" t="str">
        <v>N</v>
      </c>
      <c r="L12" s="5">
        <v>55272.86</v>
      </c>
    </row>
  </sheetData>
  <conditionalFormatting sqref="C3:C1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3272-0ECD-4516-9894-E44BE0D7A1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Updated_Data</vt:lpstr>
      <vt:lpstr>Billigst_til_Dyrest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Hart</dc:creator>
  <cp:lastModifiedBy>Kevin Mathias Bergan</cp:lastModifiedBy>
  <dcterms:created xsi:type="dcterms:W3CDTF">2015-06-05T18:17:20Z</dcterms:created>
  <dcterms:modified xsi:type="dcterms:W3CDTF">2024-11-25T20:26:02Z</dcterms:modified>
</cp:coreProperties>
</file>