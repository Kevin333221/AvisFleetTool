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Documents\Avis Wizard\AvisFleetTool\WizardAPI\Data\"/>
    </mc:Choice>
  </mc:AlternateContent>
  <xr:revisionPtr revIDLastSave="0" documentId="13_ncr:1_{41A4766E-B8B7-46D1-8D7C-1237E48DC9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2" r:id="rId1"/>
    <sheet name="Billigst_til_Dyrest" sheetId="1" r:id="rId2"/>
  </sheets>
  <functionGroups builtInGroupCount="19"/>
  <definedNames>
    <definedName name="ExternalData_1" localSheetId="0" hidden="1">Dashboard!#REF!</definedName>
    <definedName name="ExternalData_2" localSheetId="0" hidden="1">Dashboard!$B$9:$G$19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2" l="1" a="1"/>
  <c r="I25" i="2" s="1"/>
  <c r="B21" i="2" a="1"/>
  <c r="B2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646F6F-A4FB-4A79-A3CF-FF7721D0BB8E}" keepAlive="1" name="Query - DataTable" description="Connection to the 'DataTable' query in the workbook." type="5" refreshedVersion="8" background="1" saveData="1">
    <dbPr connection="Provider=Microsoft.Mashup.OleDb.1;Data Source=$Workbook$;Location=DataTable;Extended Properties=&quot;&quot;" command="SELECT * FROM [DataTable]"/>
  </connection>
  <connection id="2" xr16:uid="{4CCD4647-A628-4DCB-9533-75DD3F08516C}" keepAlive="1" name="Query - Updated_Data" description="Connection to the 'Updated_Data' query in the workbook." type="5" refreshedVersion="8" background="1" saveData="1">
    <dbPr connection="Provider=Microsoft.Mashup.OleDb.1;Data Source=$Workbook$;Location=Updated_Data;Extended Properties=&quot;&quot;" command="SELECT * FROM [Updated_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<sst xmlns="http://schemas.openxmlformats.org/spreadsheetml/2006/main" count="77" uniqueCount="22">
  <si>
    <t>LOR</t>
  </si>
  <si>
    <t>4</t>
  </si>
  <si>
    <t>5</t>
  </si>
  <si>
    <t>14</t>
  </si>
  <si>
    <t>21</t>
  </si>
  <si>
    <t>B</t>
  </si>
  <si>
    <t>C</t>
  </si>
  <si>
    <t>D</t>
  </si>
  <si>
    <t>E</t>
  </si>
  <si>
    <t>H</t>
  </si>
  <si>
    <t>G</t>
  </si>
  <si>
    <t>I</t>
  </si>
  <si>
    <t>K</t>
  </si>
  <si>
    <t>M</t>
  </si>
  <si>
    <t>N</t>
  </si>
  <si>
    <t>Click me to update</t>
  </si>
  <si>
    <t>1</t>
  </si>
  <si>
    <t>1 Dag</t>
  </si>
  <si>
    <t>4 Dager</t>
  </si>
  <si>
    <t>5 Dager</t>
  </si>
  <si>
    <t>14 Dager</t>
  </si>
  <si>
    <t>21 Dager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</si>
</sst>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sz val="20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</cellStyleXfs>
  <cellXfs count="20">
    <xf numFmtId="0" fontId="0" fillId="0" borderId="0" xfId="0"/>
    <xf numFmtId="44" fontId="0" fillId="0" borderId="0" xfId="0" applyNumberFormat="1"/>
    <xf numFmtId="0" fontId="1" fillId="3" borderId="1" xfId="2" applyBorder="1"/>
    <xf numFmtId="44" fontId="1" fillId="3" borderId="1" xfId="2" applyNumberFormat="1" applyBorder="1"/>
    <xf numFmtId="0" fontId="1" fillId="4" borderId="1" xfId="3" applyBorder="1"/>
    <xf numFmtId="0" fontId="2" fillId="2" borderId="0" xfId="1"/>
    <xf numFmtId="14" fontId="0" fillId="0" borderId="0" xfId="0" applyNumberFormat="1"/>
    <xf numFmtId="164" fontId="4" fillId="5" borderId="2" xfId="4" applyNumberFormat="1" applyFont="1" applyBorder="1" applyAlignment="1">
      <alignment horizontal="center" vertical="center"/>
    </xf>
    <xf numFmtId="164" fontId="4" fillId="5" borderId="3" xfId="4" applyNumberFormat="1" applyFont="1" applyBorder="1" applyAlignment="1">
      <alignment horizontal="center" vertical="center"/>
    </xf>
    <xf numFmtId="164" fontId="4" fillId="5" borderId="4" xfId="4" applyNumberFormat="1" applyFont="1" applyBorder="1" applyAlignment="1">
      <alignment horizontal="center" vertical="center"/>
    </xf>
    <xf numFmtId="164" fontId="4" fillId="5" borderId="5" xfId="4" applyNumberFormat="1" applyFont="1" applyBorder="1" applyAlignment="1">
      <alignment horizontal="center" vertical="center"/>
    </xf>
    <xf numFmtId="164" fontId="4" fillId="5" borderId="0" xfId="4" applyNumberFormat="1" applyFont="1" applyBorder="1" applyAlignment="1">
      <alignment horizontal="center" vertical="center"/>
    </xf>
    <xf numFmtId="164" fontId="4" fillId="5" borderId="6" xfId="4" applyNumberFormat="1" applyFont="1" applyBorder="1" applyAlignment="1">
      <alignment horizontal="center" vertical="center"/>
    </xf>
    <xf numFmtId="164" fontId="4" fillId="5" borderId="7" xfId="4" applyNumberFormat="1" applyFont="1" applyBorder="1" applyAlignment="1">
      <alignment horizontal="center" vertical="center"/>
    </xf>
    <xf numFmtId="164" fontId="4" fillId="5" borderId="8" xfId="4" applyNumberFormat="1" applyFont="1" applyBorder="1" applyAlignment="1">
      <alignment horizontal="center" vertical="center"/>
    </xf>
    <xf numFmtId="164" fontId="4" fillId="5" borderId="9" xfId="4" applyNumberFormat="1" applyFont="1" applyBorder="1" applyAlignment="1">
      <alignment horizontal="center" vertical="center"/>
    </xf>
    <xf numFmtId="0" fontId="0" fillId="0" borderId="0" xfId="0" applyNumberFormat="1"/>
    <xf numFmtId="0" fontId="5" fillId="4" borderId="1" xfId="3" applyFont="1" applyBorder="1" applyAlignment="1">
      <alignment horizontal="center"/>
    </xf>
    <xf numFmtId="0" fontId="2" fillId="2" borderId="0" xfId="1" applyAlignment="1">
      <alignment horizontal="center"/>
    </xf>
    <xf numFmtId="0" fontId="1" fillId="4" borderId="0" xfId="3"/>
  </cellXfs>
  <cellStyles count="5">
    <cellStyle name="20% - Accent1" xfId="2" builtinId="30"/>
    <cellStyle name="60% - Accent1" xfId="3" builtinId="32"/>
    <cellStyle name="Good" xfId="4" builtinId="26"/>
    <cellStyle name="Neutral" xfId="1" builtinId="28"/>
    <cellStyle name="Normal" xfId="0" builtinId="0"/>
  </cellStyles>
  <dxfs count="6"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34" formatCode="_-&quot;kr&quot;\ * #,##0.00_-;\-&quot;kr&quot;\ * #,##0.00_-;_-&quot;kr&quot;\ 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Price</a:t>
            </a:r>
            <a:r>
              <a:rPr lang="nb-NO" baseline="0"/>
              <a:t>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3380</c:v>
              </c:pt>
              <c:pt idx="1">
                <c:v>10664.88</c:v>
              </c:pt>
              <c:pt idx="2">
                <c:v>9411.33</c:v>
              </c:pt>
              <c:pt idx="3">
                <c:v>18822.650000000001</c:v>
              </c:pt>
              <c:pt idx="4">
                <c:v>27528.19</c:v>
              </c:pt>
            </c:numLit>
          </c:val>
          <c:extLst>
            <c:ext xmlns:c16="http://schemas.microsoft.com/office/drawing/2014/chart" uri="{C3380CC4-5D6E-409C-BE32-E72D297353CC}">
              <c16:uniqueId val="{00000000-F034-418F-A854-DB37840B3B67}"/>
            </c:ext>
          </c:extLst>
        </c:ser>
        <c:ser>
          <c:idx val="1"/>
          <c:order val="1"/>
          <c:tx>
            <c:v>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3250</c:v>
              </c:pt>
              <c:pt idx="1">
                <c:v>10241.1</c:v>
              </c:pt>
              <c:pt idx="2">
                <c:v>9021.84</c:v>
              </c:pt>
              <c:pt idx="3">
                <c:v>18043.68</c:v>
              </c:pt>
              <c:pt idx="4">
                <c:v>26388.89</c:v>
              </c:pt>
            </c:numLit>
          </c:val>
          <c:extLst>
            <c:ext xmlns:c16="http://schemas.microsoft.com/office/drawing/2014/chart" uri="{C3380CC4-5D6E-409C-BE32-E72D297353CC}">
              <c16:uniqueId val="{00000001-F034-418F-A854-DB37840B3B67}"/>
            </c:ext>
          </c:extLst>
        </c:ser>
        <c:ser>
          <c:idx val="2"/>
          <c:order val="2"/>
          <c:tx>
            <c:v>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3899.99</c:v>
              </c:pt>
              <c:pt idx="1">
                <c:v>12289.31</c:v>
              </c:pt>
              <c:pt idx="2">
                <c:v>10826.18</c:v>
              </c:pt>
              <c:pt idx="3">
                <c:v>21652.36</c:v>
              </c:pt>
              <c:pt idx="4">
                <c:v>31666.62</c:v>
              </c:pt>
            </c:numLit>
          </c:val>
          <c:extLst>
            <c:ext xmlns:c16="http://schemas.microsoft.com/office/drawing/2014/chart" uri="{C3380CC4-5D6E-409C-BE32-E72D297353CC}">
              <c16:uniqueId val="{00000002-F034-418F-A854-DB37840B3B67}"/>
            </c:ext>
          </c:extLst>
        </c:ser>
        <c:ser>
          <c:idx val="3"/>
          <c:order val="3"/>
          <c:tx>
            <c:v>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4420</c:v>
              </c:pt>
              <c:pt idx="1">
                <c:v>13852.5</c:v>
              </c:pt>
              <c:pt idx="2">
                <c:v>11852.31</c:v>
              </c:pt>
              <c:pt idx="3">
                <c:v>23704.6</c:v>
              </c:pt>
              <c:pt idx="4">
                <c:v>34667.949999999997</c:v>
              </c:pt>
            </c:numLit>
          </c:val>
          <c:extLst>
            <c:ext xmlns:c16="http://schemas.microsoft.com/office/drawing/2014/chart" uri="{C3380CC4-5D6E-409C-BE32-E72D297353CC}">
              <c16:uniqueId val="{00000003-F034-418F-A854-DB37840B3B67}"/>
            </c:ext>
          </c:extLst>
        </c:ser>
        <c:ser>
          <c:idx val="4"/>
          <c:order val="4"/>
          <c:tx>
            <c:v>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4940</c:v>
              </c:pt>
              <c:pt idx="1">
                <c:v>15557.11</c:v>
              </c:pt>
              <c:pt idx="2">
                <c:v>17354.689999999999</c:v>
              </c:pt>
              <c:pt idx="3">
                <c:v>34709.42</c:v>
              </c:pt>
              <c:pt idx="4">
                <c:v>50762.45</c:v>
              </c:pt>
            </c:numLit>
          </c:val>
          <c:extLst>
            <c:ext xmlns:c16="http://schemas.microsoft.com/office/drawing/2014/chart" uri="{C3380CC4-5D6E-409C-BE32-E72D297353CC}">
              <c16:uniqueId val="{00000004-F034-418F-A854-DB37840B3B67}"/>
            </c:ext>
          </c:extLst>
        </c:ser>
        <c:ser>
          <c:idx val="5"/>
          <c:order val="5"/>
          <c:tx>
            <c:v>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4030.02</c:v>
              </c:pt>
              <c:pt idx="1">
                <c:v>12658.57</c:v>
              </c:pt>
              <c:pt idx="2">
                <c:v>11104.74</c:v>
              </c:pt>
              <c:pt idx="3">
                <c:v>22209.48</c:v>
              </c:pt>
              <c:pt idx="4">
                <c:v>32481.39</c:v>
              </c:pt>
            </c:numLit>
          </c:val>
          <c:extLst>
            <c:ext xmlns:c16="http://schemas.microsoft.com/office/drawing/2014/chart" uri="{C3380CC4-5D6E-409C-BE32-E72D297353CC}">
              <c16:uniqueId val="{00000005-F034-418F-A854-DB37840B3B67}"/>
            </c:ext>
          </c:extLst>
        </c:ser>
        <c:ser>
          <c:idx val="6"/>
          <c:order val="6"/>
          <c:tx>
            <c:v>I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3250</c:v>
              </c:pt>
              <c:pt idx="1">
                <c:v>10214.77</c:v>
              </c:pt>
              <c:pt idx="2">
                <c:v>8968.2800000000007</c:v>
              </c:pt>
              <c:pt idx="3">
                <c:v>17936.53</c:v>
              </c:pt>
              <c:pt idx="4">
                <c:v>26232.15</c:v>
              </c:pt>
            </c:numLit>
          </c:val>
          <c:extLst>
            <c:ext xmlns:c16="http://schemas.microsoft.com/office/drawing/2014/chart" uri="{C3380CC4-5D6E-409C-BE32-E72D297353CC}">
              <c16:uniqueId val="{00000006-F034-418F-A854-DB37840B3B67}"/>
            </c:ext>
          </c:extLst>
        </c:ser>
        <c:ser>
          <c:idx val="7"/>
          <c:order val="7"/>
          <c:tx>
            <c:v>K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4550</c:v>
              </c:pt>
              <c:pt idx="1">
                <c:v>14269.39</c:v>
              </c:pt>
              <c:pt idx="2">
                <c:v>12492.01</c:v>
              </c:pt>
              <c:pt idx="3">
                <c:v>24984.01</c:v>
              </c:pt>
              <c:pt idx="4">
                <c:v>36539.14</c:v>
              </c:pt>
            </c:numLit>
          </c:val>
          <c:extLst>
            <c:ext xmlns:c16="http://schemas.microsoft.com/office/drawing/2014/chart" uri="{C3380CC4-5D6E-409C-BE32-E72D297353CC}">
              <c16:uniqueId val="{00000007-F034-418F-A854-DB37840B3B67}"/>
            </c:ext>
          </c:extLst>
        </c:ser>
        <c:ser>
          <c:idx val="8"/>
          <c:order val="8"/>
          <c:tx>
            <c:v>M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5850</c:v>
              </c:pt>
              <c:pt idx="1">
                <c:v>18236.54</c:v>
              </c:pt>
              <c:pt idx="2">
                <c:v>15481.71</c:v>
              </c:pt>
              <c:pt idx="3">
                <c:v>30963.4</c:v>
              </c:pt>
              <c:pt idx="4">
                <c:v>45283.91</c:v>
              </c:pt>
            </c:numLit>
          </c:val>
          <c:extLst>
            <c:ext xmlns:c16="http://schemas.microsoft.com/office/drawing/2014/chart" uri="{C3380CC4-5D6E-409C-BE32-E72D297353CC}">
              <c16:uniqueId val="{00000008-F034-418F-A854-DB37840B3B67}"/>
            </c:ext>
          </c:extLst>
        </c:ser>
        <c:ser>
          <c:idx val="9"/>
          <c:order val="9"/>
          <c:tx>
            <c:v>N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1</c:v>
              </c:pt>
              <c:pt idx="1">
                <c:v>4</c:v>
              </c:pt>
              <c:pt idx="2">
                <c:v>5</c:v>
              </c:pt>
              <c:pt idx="3">
                <c:v>14</c:v>
              </c:pt>
              <c:pt idx="4">
                <c:v>21</c:v>
              </c:pt>
            </c:strLit>
          </c:cat>
          <c:val>
            <c:numLit>
              <c:formatCode>General</c:formatCode>
              <c:ptCount val="5"/>
              <c:pt idx="0">
                <c:v>7149.99</c:v>
              </c:pt>
              <c:pt idx="1">
                <c:v>22277.03</c:v>
              </c:pt>
              <c:pt idx="2">
                <c:v>18896.72</c:v>
              </c:pt>
              <c:pt idx="3">
                <c:v>37793.43</c:v>
              </c:pt>
              <c:pt idx="4">
                <c:v>55272.86</c:v>
              </c:pt>
            </c:numLit>
          </c:val>
          <c:extLst>
            <c:ext xmlns:c16="http://schemas.microsoft.com/office/drawing/2014/chart" uri="{C3380CC4-5D6E-409C-BE32-E72D297353CC}">
              <c16:uniqueId val="{00000009-F034-418F-A854-DB37840B3B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53748848"/>
        <c:axId val="1653751728"/>
      </c:barChart>
      <c:catAx>
        <c:axId val="165374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51728"/>
        <c:crosses val="autoZero"/>
        <c:auto val="1"/>
        <c:lblAlgn val="ctr"/>
        <c:lblOffset val="100"/>
        <c:noMultiLvlLbl val="0"/>
      </c:catAx>
      <c:valAx>
        <c:axId val="165375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65374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hyperlink" Target="#Billigst_til_Dyrest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19</xdr:col>
      <xdr:colOff>0</xdr:colOff>
      <xdr:row>22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11A98BA-CA1F-4E3B-B969-273F528D5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419100</xdr:colOff>
      <xdr:row>2</xdr:row>
      <xdr:rowOff>0</xdr:rowOff>
    </xdr:from>
    <xdr:to>
      <xdr:col>4</xdr:col>
      <xdr:colOff>504825</xdr:colOff>
      <xdr:row>6</xdr:row>
      <xdr:rowOff>161925</xdr:rowOff>
    </xdr:to>
    <xdr:pic macro="[0]!RefreshAll">
      <xdr:nvPicPr>
        <xdr:cNvPr id="6" name="Graphic 5" descr="Repeat with solid fill">
          <a:extLst>
            <a:ext uri="{FF2B5EF4-FFF2-40B4-BE49-F238E27FC236}">
              <a16:creationId xmlns:a16="http://schemas.microsoft.com/office/drawing/2014/main" id="{57566B93-647B-4833-B7D0-BEAC7FCFD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85975" y="381000"/>
          <a:ext cx="923925" cy="923925"/>
        </a:xfrm>
        <a:prstGeom prst="rect">
          <a:avLst/>
        </a:prstGeom>
      </xdr:spPr>
    </xdr:pic>
    <xdr:clientData/>
  </xdr:twoCellAnchor>
  <xdr:twoCellAnchor>
    <xdr:from>
      <xdr:col>5</xdr:col>
      <xdr:colOff>1</xdr:colOff>
      <xdr:row>2</xdr:row>
      <xdr:rowOff>1</xdr:rowOff>
    </xdr:from>
    <xdr:to>
      <xdr:col>7</xdr:col>
      <xdr:colOff>1</xdr:colOff>
      <xdr:row>6</xdr:row>
      <xdr:rowOff>1</xdr:rowOff>
    </xdr:to>
    <xdr:sp macro="" textlink="">
      <xdr:nvSpPr>
        <xdr:cNvPr id="7" name="Rectangle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BE2BA1C-8380-4B89-8FB0-0FA8AD9F2E01}"/>
            </a:ext>
          </a:extLst>
        </xdr:cNvPr>
        <xdr:cNvSpPr/>
      </xdr:nvSpPr>
      <xdr:spPr>
        <a:xfrm>
          <a:off x="3257551" y="381001"/>
          <a:ext cx="1676400" cy="762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600"/>
            <a:t>Billigst til Dyrest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0</xdr:colOff>
      <xdr:row>21</xdr:row>
      <xdr:rowOff>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D38F17-EA06-46AF-BD39-E2A22243E431}"/>
            </a:ext>
          </a:extLst>
        </xdr:cNvPr>
        <xdr:cNvSpPr/>
      </xdr:nvSpPr>
      <xdr:spPr>
        <a:xfrm>
          <a:off x="609600" y="3048000"/>
          <a:ext cx="1971675" cy="952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3200"/>
            <a:t>Gå tilbake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15328A6-773B-406E-BE41-9DCBB1A6D1B9}" autoFormatId="16" applyNumberFormats="0" applyBorderFormats="0" applyFontFormats="0" applyPatternFormats="0" applyAlignmentFormats="0" applyWidthHeightFormats="0">
  <queryTableRefresh nextId="7">
    <queryTableFields count="6">
      <queryTableField id="1" name="LOR" tableColumnId="1"/>
      <queryTableField id="2" name="1" tableColumnId="2"/>
      <queryTableField id="3" name="4" tableColumnId="3"/>
      <queryTableField id="4" name="5" tableColumnId="4"/>
      <queryTableField id="5" name="14" tableColumnId="5"/>
      <queryTableField id="6" name="21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6147F9-93F5-4169-804B-EA1232F3F83E}" name="DataTable" displayName="DataTable" ref="B9:G19" tableType="queryTable" totalsRowShown="0">
  <autoFilter ref="B9:G19" xr:uid="{096147F9-93F5-4169-804B-EA1232F3F8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9534E04-F3FE-4799-8DEF-055C4E4120CA}" uniqueName="1" name="LOR" queryTableFieldId="1" dataDxfId="5"/>
    <tableColumn id="2" xr3:uid="{2180B64F-2A18-4333-A377-6AE42FD4FF20}" uniqueName="2" name="1" queryTableFieldId="2" dataDxfId="4"/>
    <tableColumn id="3" xr3:uid="{C99ADB7B-A4F5-43A9-904B-4ACED8879E9D}" uniqueName="3" name="4" queryTableFieldId="3" dataDxfId="3"/>
    <tableColumn id="4" xr3:uid="{DD066EE1-B238-4F99-8DA5-0541B2A16994}" uniqueName="4" name="5" queryTableFieldId="4" dataDxfId="2"/>
    <tableColumn id="5" xr3:uid="{2D4F57D1-7C65-4B58-85B3-405F8C0F51F4}" uniqueName="5" name="14" queryTableFieldId="5" dataDxfId="1"/>
    <tableColumn id="6" xr3:uid="{D01478AB-F3AB-4261-9C1E-EA17B34D424C}" uniqueName="6" name="21" queryTableFieldId="6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FB7A-2F56-490D-B302-8FD066910005}">
  <sheetPr codeName="Sheet1"/>
  <dimension ref="B2:S33"/>
  <sheetViews>
    <sheetView tabSelected="1" workbookViewId="0">
      <selection activeCell="G29" sqref="G29"/>
    </sheetView>
  </sheetViews>
  <sheetFormatPr defaultRowHeight="15" x14ac:dyDescent="0.25"/>
  <cols>
    <col min="1" max="2" width="6.7109375" bestFit="1" customWidth="1"/>
    <col min="3" max="3" width="11.5703125" bestFit="1" customWidth="1"/>
    <col min="4" max="7" width="12.5703125" bestFit="1" customWidth="1"/>
    <col min="8" max="8" width="12.7109375" customWidth="1"/>
    <col min="9" max="9" width="4.42578125" bestFit="1" customWidth="1"/>
    <col min="10" max="19" width="12.5703125" bestFit="1" customWidth="1"/>
    <col min="20" max="20" width="9" bestFit="1" customWidth="1"/>
    <col min="21" max="31" width="10.7109375" customWidth="1"/>
  </cols>
  <sheetData>
    <row r="2" spans="2:7" x14ac:dyDescent="0.25">
      <c r="D2" s="18" t="s">
        <v>15</v>
      </c>
      <c r="E2" s="18"/>
    </row>
    <row r="9" spans="2:7" x14ac:dyDescent="0.25">
      <c r="B9" t="s">
        <v>0</v>
      </c>
      <c r="C9" t="s">
        <v>16</v>
      </c>
      <c r="D9" t="s">
        <v>1</v>
      </c>
      <c r="E9" t="s">
        <v>2</v>
      </c>
      <c r="F9" t="s">
        <v>3</v>
      </c>
      <c r="G9" t="s">
        <v>4</v>
      </c>
    </row>
    <row r="10" spans="2:7" x14ac:dyDescent="0.25">
      <c r="B10" s="16" t="s">
        <v>5</v>
      </c>
      <c r="C10" s="1">
        <v>3380</v>
      </c>
      <c r="D10" s="1">
        <v>10664.88</v>
      </c>
      <c r="E10" s="1">
        <v>9411.33</v>
      </c>
      <c r="F10" s="1">
        <v>18822.650000000001</v>
      </c>
      <c r="G10" s="1">
        <v>27528.19</v>
      </c>
    </row>
    <row r="11" spans="2:7" x14ac:dyDescent="0.25">
      <c r="B11" s="16" t="s">
        <v>6</v>
      </c>
      <c r="C11" s="1">
        <v>3250</v>
      </c>
      <c r="D11" s="1">
        <v>10241.1</v>
      </c>
      <c r="E11" s="1">
        <v>9021.84</v>
      </c>
      <c r="F11" s="1">
        <v>18043.68</v>
      </c>
      <c r="G11" s="1">
        <v>26388.89</v>
      </c>
    </row>
    <row r="12" spans="2:7" x14ac:dyDescent="0.25">
      <c r="B12" s="16" t="s">
        <v>7</v>
      </c>
      <c r="C12" s="1">
        <v>3899.99</v>
      </c>
      <c r="D12" s="1">
        <v>12289.31</v>
      </c>
      <c r="E12" s="1">
        <v>10826.18</v>
      </c>
      <c r="F12" s="1">
        <v>21652.36</v>
      </c>
      <c r="G12" s="1">
        <v>31666.62</v>
      </c>
    </row>
    <row r="13" spans="2:7" x14ac:dyDescent="0.25">
      <c r="B13" s="16" t="s">
        <v>8</v>
      </c>
      <c r="C13" s="1">
        <v>4420</v>
      </c>
      <c r="D13" s="1">
        <v>13852.5</v>
      </c>
      <c r="E13" s="1">
        <v>11852.31</v>
      </c>
      <c r="F13" s="1">
        <v>23704.6</v>
      </c>
      <c r="G13" s="1">
        <v>34667.949999999997</v>
      </c>
    </row>
    <row r="14" spans="2:7" x14ac:dyDescent="0.25">
      <c r="B14" s="16" t="s">
        <v>9</v>
      </c>
      <c r="C14" s="1">
        <v>4940</v>
      </c>
      <c r="D14" s="1">
        <v>15557.11</v>
      </c>
      <c r="E14" s="1">
        <v>17354.689999999999</v>
      </c>
      <c r="F14" s="1">
        <v>34709.42</v>
      </c>
      <c r="G14" s="1">
        <v>50762.45</v>
      </c>
    </row>
    <row r="15" spans="2:7" x14ac:dyDescent="0.25">
      <c r="B15" s="16" t="s">
        <v>10</v>
      </c>
      <c r="C15" s="1">
        <v>4030.02</v>
      </c>
      <c r="D15" s="1">
        <v>12658.57</v>
      </c>
      <c r="E15" s="1">
        <v>11104.74</v>
      </c>
      <c r="F15" s="1">
        <v>22209.48</v>
      </c>
      <c r="G15" s="1">
        <v>32481.39</v>
      </c>
    </row>
    <row r="16" spans="2:7" x14ac:dyDescent="0.25">
      <c r="B16" s="16" t="s">
        <v>11</v>
      </c>
      <c r="C16" s="1">
        <v>3250</v>
      </c>
      <c r="D16" s="1">
        <v>10214.77</v>
      </c>
      <c r="E16" s="1">
        <v>8968.2800000000007</v>
      </c>
      <c r="F16" s="1">
        <v>17936.53</v>
      </c>
      <c r="G16" s="1">
        <v>26232.15</v>
      </c>
    </row>
    <row r="17" spans="2:19" x14ac:dyDescent="0.25">
      <c r="B17" s="16" t="s">
        <v>12</v>
      </c>
      <c r="C17" s="1">
        <v>4550</v>
      </c>
      <c r="D17" s="1">
        <v>14269.39</v>
      </c>
      <c r="E17" s="1">
        <v>12492.01</v>
      </c>
      <c r="F17" s="1">
        <v>24984.01</v>
      </c>
      <c r="G17" s="1">
        <v>36539.14</v>
      </c>
    </row>
    <row r="18" spans="2:19" x14ac:dyDescent="0.25">
      <c r="B18" s="16" t="s">
        <v>13</v>
      </c>
      <c r="C18" s="1">
        <v>5850</v>
      </c>
      <c r="D18" s="1">
        <v>18236.54</v>
      </c>
      <c r="E18" s="1">
        <v>15481.71</v>
      </c>
      <c r="F18" s="1">
        <v>30963.4</v>
      </c>
      <c r="G18" s="1">
        <v>45283.91</v>
      </c>
    </row>
    <row r="19" spans="2:19" x14ac:dyDescent="0.25">
      <c r="B19" s="16" t="s">
        <v>14</v>
      </c>
      <c r="C19" s="1">
        <v>7149.99</v>
      </c>
      <c r="D19" s="1">
        <v>22277.03</v>
      </c>
      <c r="E19" s="1">
        <v>18896.72</v>
      </c>
      <c r="F19" s="1">
        <v>37793.43</v>
      </c>
      <c r="G19" s="1">
        <v>55272.86</v>
      </c>
    </row>
    <row r="21" spans="2:19" x14ac:dyDescent="0.25">
      <c r="B21" s="7" cm="1">
        <f t="array" ref="B21">DATE(2000 + RIGHT(MID(ExtractText("C:\Users\kevin\Documents\Avis Wizard\AvisFleetTool\WizardAPI\HLLAPI\Price\Date.txt",1),1,7), 2), _xlfn.SWITCH(MID(MID(ExtractText("C:\Users\kevin\Documents\Avis Wizard\AvisFleetTool\WizardAPI\HLLAPI\Price\Date.txt",1),1,7), 3, 3), "JAN", 1, "FEB", 2, "MAR", 3, "APR", 4, "MAY", 5, "JUN", 6, "JUL", 7, "AUG", 8, "SEP", 9, "OCT", 10, "NOV", 11, "DEC", 12), LEFT(MID(ExtractText("C:\Users\kevin\Documents\Avis Wizard\AvisFleetTool\WizardAPI\HLLAPI\Price\Date.txt",1),1,7), 2))</f>
        <v>45659</v>
      </c>
      <c r="C21" s="8"/>
      <c r="D21" s="8"/>
      <c r="E21" s="8"/>
      <c r="F21" s="8"/>
      <c r="G21" s="9"/>
    </row>
    <row r="22" spans="2:19" x14ac:dyDescent="0.25">
      <c r="B22" s="10"/>
      <c r="C22" s="11"/>
      <c r="D22" s="11"/>
      <c r="E22" s="11"/>
      <c r="F22" s="11"/>
      <c r="G22" s="12"/>
    </row>
    <row r="23" spans="2:19" x14ac:dyDescent="0.25">
      <c r="B23" s="13"/>
      <c r="C23" s="14"/>
      <c r="D23" s="14"/>
      <c r="E23" s="14"/>
      <c r="F23" s="14"/>
      <c r="G23" s="15"/>
    </row>
    <row r="25" spans="2:19" x14ac:dyDescent="0.25">
      <c r="I25" s="5" t="str" cm="1">
        <f t="array" ref="I25:S30">TRANSPOSE(DataTable[#All])</f>
        <v>LOR</v>
      </c>
      <c r="J25" s="19" t="str">
        <v>B</v>
      </c>
      <c r="K25" s="19" t="str">
        <v>C</v>
      </c>
      <c r="L25" s="19" t="str">
        <v>D</v>
      </c>
      <c r="M25" s="19" t="str">
        <v>E</v>
      </c>
      <c r="N25" s="19" t="str">
        <v>H</v>
      </c>
      <c r="O25" s="19" t="str">
        <v>G</v>
      </c>
      <c r="P25" s="19" t="str">
        <v>I</v>
      </c>
      <c r="Q25" s="19" t="str">
        <v>K</v>
      </c>
      <c r="R25" s="19" t="str">
        <v>M</v>
      </c>
      <c r="S25" s="19" t="str">
        <v>N</v>
      </c>
    </row>
    <row r="26" spans="2:19" x14ac:dyDescent="0.25">
      <c r="I26" s="5" t="str">
        <v>1</v>
      </c>
      <c r="J26" s="1">
        <v>3380</v>
      </c>
      <c r="K26" s="1">
        <v>3250</v>
      </c>
      <c r="L26" s="1">
        <v>3899.99</v>
      </c>
      <c r="M26" s="1">
        <v>4420</v>
      </c>
      <c r="N26" s="1">
        <v>4940</v>
      </c>
      <c r="O26" s="1">
        <v>4030.02</v>
      </c>
      <c r="P26" s="1">
        <v>3250</v>
      </c>
      <c r="Q26" s="1">
        <v>4550</v>
      </c>
      <c r="R26" s="1">
        <v>5850</v>
      </c>
      <c r="S26" s="1">
        <v>7149.99</v>
      </c>
    </row>
    <row r="27" spans="2:19" x14ac:dyDescent="0.25">
      <c r="I27" s="5" t="str">
        <v>4</v>
      </c>
      <c r="J27" s="1">
        <v>10664.88</v>
      </c>
      <c r="K27" s="1">
        <v>10241.1</v>
      </c>
      <c r="L27" s="1">
        <v>12289.31</v>
      </c>
      <c r="M27" s="1">
        <v>13852.5</v>
      </c>
      <c r="N27" s="1">
        <v>15557.11</v>
      </c>
      <c r="O27" s="1">
        <v>12658.57</v>
      </c>
      <c r="P27" s="1">
        <v>10214.77</v>
      </c>
      <c r="Q27" s="1">
        <v>14269.39</v>
      </c>
      <c r="R27" s="1">
        <v>18236.54</v>
      </c>
      <c r="S27" s="1">
        <v>22277.03</v>
      </c>
    </row>
    <row r="28" spans="2:19" x14ac:dyDescent="0.25">
      <c r="I28" s="5" t="str">
        <v>5</v>
      </c>
      <c r="J28" s="1">
        <v>9411.33</v>
      </c>
      <c r="K28" s="1">
        <v>9021.84</v>
      </c>
      <c r="L28" s="1">
        <v>10826.18</v>
      </c>
      <c r="M28" s="1">
        <v>11852.31</v>
      </c>
      <c r="N28" s="1">
        <v>17354.689999999999</v>
      </c>
      <c r="O28" s="1">
        <v>11104.74</v>
      </c>
      <c r="P28" s="1">
        <v>8968.2800000000007</v>
      </c>
      <c r="Q28" s="1">
        <v>12492.01</v>
      </c>
      <c r="R28" s="1">
        <v>15481.71</v>
      </c>
      <c r="S28" s="1">
        <v>18896.72</v>
      </c>
    </row>
    <row r="29" spans="2:19" x14ac:dyDescent="0.25">
      <c r="I29" s="5" t="str">
        <v>14</v>
      </c>
      <c r="J29" s="1">
        <v>18822.650000000001</v>
      </c>
      <c r="K29" s="1">
        <v>18043.68</v>
      </c>
      <c r="L29" s="1">
        <v>21652.36</v>
      </c>
      <c r="M29" s="1">
        <v>23704.6</v>
      </c>
      <c r="N29" s="1">
        <v>34709.42</v>
      </c>
      <c r="O29" s="1">
        <v>22209.48</v>
      </c>
      <c r="P29" s="1">
        <v>17936.53</v>
      </c>
      <c r="Q29" s="1">
        <v>24984.01</v>
      </c>
      <c r="R29" s="1">
        <v>30963.4</v>
      </c>
      <c r="S29" s="1">
        <v>37793.43</v>
      </c>
    </row>
    <row r="30" spans="2:19" x14ac:dyDescent="0.25">
      <c r="I30" s="5" t="str">
        <v>21</v>
      </c>
      <c r="J30" s="1">
        <v>27528.19</v>
      </c>
      <c r="K30" s="1">
        <v>26388.89</v>
      </c>
      <c r="L30" s="1">
        <v>31666.62</v>
      </c>
      <c r="M30" s="1">
        <v>34667.949999999997</v>
      </c>
      <c r="N30" s="1">
        <v>50762.45</v>
      </c>
      <c r="O30" s="1">
        <v>32481.39</v>
      </c>
      <c r="P30" s="1">
        <v>26232.15</v>
      </c>
      <c r="Q30" s="1">
        <v>36539.14</v>
      </c>
      <c r="R30" s="1">
        <v>45283.91</v>
      </c>
      <c r="S30" s="1">
        <v>55272.86</v>
      </c>
    </row>
    <row r="33" spans="2:2" x14ac:dyDescent="0.25">
      <c r="B33" s="6"/>
    </row>
  </sheetData>
  <mergeCells count="2">
    <mergeCell ref="B21:G23"/>
    <mergeCell ref="D2:E2"/>
  </mergeCells>
  <conditionalFormatting sqref="C10:C1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0:D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0:E1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0:F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:G19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S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7:S2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8:S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9:S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0:S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12"/>
  <sheetViews>
    <sheetView workbookViewId="0">
      <selection activeCell="K19" sqref="K19"/>
    </sheetView>
  </sheetViews>
  <sheetFormatPr defaultRowHeight="15" x14ac:dyDescent="0.25"/>
  <cols>
    <col min="2" max="2" width="4.42578125" bestFit="1" customWidth="1"/>
    <col min="3" max="3" width="11.5703125" bestFit="1" customWidth="1"/>
    <col min="5" max="5" width="4.42578125" bestFit="1" customWidth="1"/>
    <col min="6" max="6" width="12.5703125" bestFit="1" customWidth="1"/>
    <col min="8" max="8" width="4.42578125" bestFit="1" customWidth="1"/>
    <col min="9" max="9" width="12.5703125" bestFit="1" customWidth="1"/>
    <col min="11" max="11" width="4.42578125" bestFit="1" customWidth="1"/>
    <col min="12" max="12" width="12.5703125" bestFit="1" customWidth="1"/>
    <col min="14" max="14" width="4.42578125" bestFit="1" customWidth="1"/>
    <col min="15" max="15" width="12.5703125" bestFit="1" customWidth="1"/>
  </cols>
  <sheetData>
    <row r="2" spans="2:15" x14ac:dyDescent="0.25">
      <c r="B2" s="4" t="s">
        <v>0</v>
      </c>
      <c r="C2" s="17" t="s">
        <v>17</v>
      </c>
      <c r="E2" s="4" t="s">
        <v>0</v>
      </c>
      <c r="F2" s="17" t="s">
        <v>18</v>
      </c>
      <c r="H2" s="4" t="s">
        <v>0</v>
      </c>
      <c r="I2" s="17" t="s">
        <v>19</v>
      </c>
      <c r="K2" s="4" t="s">
        <v>0</v>
      </c>
      <c r="L2" s="17" t="s">
        <v>20</v>
      </c>
      <c r="N2" s="4" t="s">
        <v>0</v>
      </c>
      <c r="O2" s="17" t="s">
        <v>21</v>
      </c>
    </row>
    <row r="3" spans="2:15" x14ac:dyDescent="0.25">
      <c r="B3" s="2" t="s">
        <v>11</v>
      </c>
      <c r="C3" s="3">
        <v>3250</v>
      </c>
      <c r="E3" s="2" t="s">
        <v>11</v>
      </c>
      <c r="F3" s="3">
        <v>10214.77</v>
      </c>
      <c r="H3" s="2" t="s">
        <v>11</v>
      </c>
      <c r="I3" s="3">
        <v>8968.2800000000007</v>
      </c>
      <c r="K3" s="2" t="s">
        <v>11</v>
      </c>
      <c r="L3" s="3">
        <v>17936.53</v>
      </c>
      <c r="N3" s="2" t="s">
        <v>11</v>
      </c>
      <c r="O3" s="3">
        <v>26232.15</v>
      </c>
    </row>
    <row r="4" spans="2:15" x14ac:dyDescent="0.25">
      <c r="B4" s="2" t="s">
        <v>6</v>
      </c>
      <c r="C4" s="3">
        <v>3250</v>
      </c>
      <c r="E4" s="2" t="s">
        <v>6</v>
      </c>
      <c r="F4" s="3">
        <v>10241.1</v>
      </c>
      <c r="H4" s="2" t="s">
        <v>6</v>
      </c>
      <c r="I4" s="3">
        <v>9021.84</v>
      </c>
      <c r="K4" s="2" t="s">
        <v>6</v>
      </c>
      <c r="L4" s="3">
        <v>18043.68</v>
      </c>
      <c r="N4" s="2" t="s">
        <v>6</v>
      </c>
      <c r="O4" s="3">
        <v>26388.89</v>
      </c>
    </row>
    <row r="5" spans="2:15" x14ac:dyDescent="0.25">
      <c r="B5" s="2" t="s">
        <v>5</v>
      </c>
      <c r="C5" s="3">
        <v>3380</v>
      </c>
      <c r="E5" s="2" t="s">
        <v>5</v>
      </c>
      <c r="F5" s="3">
        <v>10664.88</v>
      </c>
      <c r="H5" s="2" t="s">
        <v>5</v>
      </c>
      <c r="I5" s="3">
        <v>9411.33</v>
      </c>
      <c r="K5" s="2" t="s">
        <v>5</v>
      </c>
      <c r="L5" s="3">
        <v>18822.650000000001</v>
      </c>
      <c r="N5" s="2" t="s">
        <v>5</v>
      </c>
      <c r="O5" s="3">
        <v>27528.19</v>
      </c>
    </row>
    <row r="6" spans="2:15" x14ac:dyDescent="0.25">
      <c r="B6" s="2" t="s">
        <v>7</v>
      </c>
      <c r="C6" s="3">
        <v>3899.99</v>
      </c>
      <c r="E6" s="2" t="s">
        <v>7</v>
      </c>
      <c r="F6" s="3">
        <v>12289.31</v>
      </c>
      <c r="H6" s="2" t="s">
        <v>7</v>
      </c>
      <c r="I6" s="3">
        <v>10826.18</v>
      </c>
      <c r="K6" s="2" t="s">
        <v>7</v>
      </c>
      <c r="L6" s="3">
        <v>21652.36</v>
      </c>
      <c r="N6" s="2" t="s">
        <v>7</v>
      </c>
      <c r="O6" s="3">
        <v>31666.62</v>
      </c>
    </row>
    <row r="7" spans="2:15" x14ac:dyDescent="0.25">
      <c r="B7" s="2" t="s">
        <v>10</v>
      </c>
      <c r="C7" s="3">
        <v>4030.02</v>
      </c>
      <c r="E7" s="2" t="s">
        <v>10</v>
      </c>
      <c r="F7" s="3">
        <v>12658.57</v>
      </c>
      <c r="H7" s="2" t="s">
        <v>10</v>
      </c>
      <c r="I7" s="3">
        <v>11104.74</v>
      </c>
      <c r="K7" s="2" t="s">
        <v>10</v>
      </c>
      <c r="L7" s="3">
        <v>22209.48</v>
      </c>
      <c r="N7" s="2" t="s">
        <v>10</v>
      </c>
      <c r="O7" s="3">
        <v>32481.39</v>
      </c>
    </row>
    <row r="8" spans="2:15" x14ac:dyDescent="0.25">
      <c r="B8" s="2" t="s">
        <v>8</v>
      </c>
      <c r="C8" s="3">
        <v>4420</v>
      </c>
      <c r="E8" s="2" t="s">
        <v>8</v>
      </c>
      <c r="F8" s="3">
        <v>13852.5</v>
      </c>
      <c r="H8" s="2" t="s">
        <v>8</v>
      </c>
      <c r="I8" s="3">
        <v>11852.31</v>
      </c>
      <c r="K8" s="2" t="s">
        <v>8</v>
      </c>
      <c r="L8" s="3">
        <v>23704.6</v>
      </c>
      <c r="N8" s="2" t="s">
        <v>8</v>
      </c>
      <c r="O8" s="3">
        <v>34667.949999999997</v>
      </c>
    </row>
    <row r="9" spans="2:15" x14ac:dyDescent="0.25">
      <c r="B9" s="2" t="s">
        <v>12</v>
      </c>
      <c r="C9" s="3">
        <v>4550</v>
      </c>
      <c r="E9" s="2" t="s">
        <v>12</v>
      </c>
      <c r="F9" s="3">
        <v>14269.39</v>
      </c>
      <c r="H9" s="2" t="s">
        <v>12</v>
      </c>
      <c r="I9" s="3">
        <v>12492.01</v>
      </c>
      <c r="K9" s="2" t="s">
        <v>12</v>
      </c>
      <c r="L9" s="3">
        <v>24984.01</v>
      </c>
      <c r="N9" s="2" t="s">
        <v>12</v>
      </c>
      <c r="O9" s="3">
        <v>36539.14</v>
      </c>
    </row>
    <row r="10" spans="2:15" x14ac:dyDescent="0.25">
      <c r="B10" s="2" t="s">
        <v>9</v>
      </c>
      <c r="C10" s="3">
        <v>4940</v>
      </c>
      <c r="E10" s="2" t="s">
        <v>9</v>
      </c>
      <c r="F10" s="3">
        <v>15557.11</v>
      </c>
      <c r="H10" s="2" t="s">
        <v>13</v>
      </c>
      <c r="I10" s="3">
        <v>15481.71</v>
      </c>
      <c r="K10" s="2" t="s">
        <v>13</v>
      </c>
      <c r="L10" s="3">
        <v>30963.4</v>
      </c>
      <c r="N10" s="2" t="s">
        <v>13</v>
      </c>
      <c r="O10" s="3">
        <v>45283.91</v>
      </c>
    </row>
    <row r="11" spans="2:15" x14ac:dyDescent="0.25">
      <c r="B11" s="2" t="s">
        <v>13</v>
      </c>
      <c r="C11" s="3">
        <v>5850</v>
      </c>
      <c r="E11" s="2" t="s">
        <v>13</v>
      </c>
      <c r="F11" s="3">
        <v>18236.54</v>
      </c>
      <c r="H11" s="2" t="s">
        <v>9</v>
      </c>
      <c r="I11" s="3">
        <v>17354.689999999999</v>
      </c>
      <c r="K11" s="2" t="s">
        <v>9</v>
      </c>
      <c r="L11" s="3">
        <v>34709.42</v>
      </c>
      <c r="N11" s="2" t="s">
        <v>9</v>
      </c>
      <c r="O11" s="3">
        <v>50762.45</v>
      </c>
    </row>
    <row r="12" spans="2:15" x14ac:dyDescent="0.25">
      <c r="B12" s="2" t="s">
        <v>14</v>
      </c>
      <c r="C12" s="3">
        <v>7149.99</v>
      </c>
      <c r="E12" s="2" t="s">
        <v>14</v>
      </c>
      <c r="F12" s="3">
        <v>22277.03</v>
      </c>
      <c r="H12" s="2" t="s">
        <v>14</v>
      </c>
      <c r="I12" s="3">
        <v>18896.72</v>
      </c>
      <c r="K12" s="2" t="s">
        <v>14</v>
      </c>
      <c r="L12" s="3">
        <v>37793.43</v>
      </c>
      <c r="N12" s="2" t="s">
        <v>14</v>
      </c>
      <c r="O12" s="3">
        <v>55272.86</v>
      </c>
    </row>
  </sheetData>
  <conditionalFormatting sqref="F3:F1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1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1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863272-0ECD-4516-9894-E44BE0D7A1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Billigst_til_Dyrest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Hart</dc:creator>
  <cp:lastModifiedBy>Kevin Mathias Bergan</cp:lastModifiedBy>
  <dcterms:created xsi:type="dcterms:W3CDTF">2015-06-05T18:17:20Z</dcterms:created>
  <dcterms:modified xsi:type="dcterms:W3CDTF">2024-11-30T15:46:21Z</dcterms:modified>
</cp:coreProperties>
</file>