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\Documents\Avis Wizard\AvisFleetTool\WizardAPI\Data\"/>
    </mc:Choice>
  </mc:AlternateContent>
  <xr:revisionPtr revIDLastSave="0" documentId="13_ncr:1_{3E2480B1-801F-45B2-8309-DD0AFA1B520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" sheetId="2" r:id="rId1"/>
    <sheet name="Billigst_til_Dyrest" sheetId="1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1" l="1" a="1"/>
  <c r="O3" i="1" s="1"/>
  <c r="N3" i="1" a="1"/>
  <c r="N3" i="1" s="1"/>
  <c r="L3" i="1" a="1"/>
  <c r="L3" i="1" s="1"/>
  <c r="K3" i="1" a="1"/>
  <c r="K3" i="1" s="1"/>
  <c r="I3" i="1" a="1"/>
  <c r="I3" i="1" s="1"/>
  <c r="H3" i="1" a="1"/>
  <c r="H3" i="1" s="1"/>
  <c r="F3" i="1" a="1"/>
  <c r="F3" i="1" s="1"/>
  <c r="E3" i="1" a="1"/>
  <c r="E3" i="1" s="1"/>
  <c r="C3" i="1" a="1"/>
  <c r="C3" i="1" s="1"/>
  <c r="B3" i="1" a="1"/>
  <c r="B3" i="1" s="1"/>
  <c r="B25" i="2" a="1"/>
  <c r="B25" i="2" s="1"/>
  <c r="B21" i="2" a="1"/>
  <c r="B2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CD4647-A628-4DCB-9533-75DD3F08516C}" keepAlive="1" name="Query - Updated_Data" description="Connection to the 'Updated_Data' query in the workbook." type="5" refreshedVersion="8" background="1" saveData="1">
    <dbPr connection="Provider=Microsoft.Mashup.OleDb.1;Data Source=$Workbook$;Location=Updated_Data;Extended Properties=&quot;&quot;" command="SELECT * FROM [Updated_Dat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<sst xmlns="http://schemas.openxmlformats.org/spreadsheetml/2006/main" count="22" uniqueCount="17">
  <si>
    <t>LOR</t>
  </si>
  <si>
    <t>4</t>
  </si>
  <si>
    <t>5</t>
  </si>
  <si>
    <t>14</t>
  </si>
  <si>
    <t>21</t>
  </si>
  <si>
    <t>B</t>
  </si>
  <si>
    <t>C</t>
  </si>
  <si>
    <t>D</t>
  </si>
  <si>
    <t>E</t>
  </si>
  <si>
    <t>H</t>
  </si>
  <si>
    <t>G</t>
  </si>
  <si>
    <t>I</t>
  </si>
  <si>
    <t>K</t>
  </si>
  <si>
    <t>M</t>
  </si>
  <si>
    <t>N</t>
  </si>
  <si>
    <t>Click me to update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</si>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</sst>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kr&quot;\ * #,##0.00_-;\-&quot;kr&quot;\ * #,##0.00_-;_-&quot;kr&quot;\ * &quot;-&quot;??_-;_-@_-"/>
    <numFmt numFmtId="164" formatCode="[$-F800]dddd\,\ mmmm\ dd\,\ 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20"/>
      <color rgb="FF0061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4" fillId="7" borderId="0" applyNumberFormat="0" applyBorder="0" applyAlignment="0" applyProtection="0"/>
  </cellStyleXfs>
  <cellXfs count="19">
    <xf numFmtId="0" fontId="0" fillId="0" borderId="0" xfId="0"/>
    <xf numFmtId="44" fontId="0" fillId="0" borderId="0" xfId="0" applyNumberFormat="1"/>
    <xf numFmtId="0" fontId="1" fillId="5" borderId="0" xfId="4"/>
    <xf numFmtId="0" fontId="1" fillId="4" borderId="2" xfId="3" applyBorder="1"/>
    <xf numFmtId="44" fontId="1" fillId="4" borderId="2" xfId="3" applyNumberFormat="1" applyBorder="1"/>
    <xf numFmtId="0" fontId="1" fillId="6" borderId="2" xfId="5" applyBorder="1"/>
    <xf numFmtId="0" fontId="3" fillId="3" borderId="3" xfId="2" applyBorder="1" applyAlignment="1">
      <alignment horizontal="center"/>
    </xf>
    <xf numFmtId="0" fontId="3" fillId="3" borderId="0" xfId="2" applyBorder="1" applyAlignment="1">
      <alignment horizontal="center"/>
    </xf>
    <xf numFmtId="164" fontId="5" fillId="7" borderId="4" xfId="6" applyNumberFormat="1" applyFont="1" applyBorder="1" applyAlignment="1">
      <alignment horizontal="center" vertical="center"/>
    </xf>
    <xf numFmtId="164" fontId="5" fillId="7" borderId="5" xfId="6" applyNumberFormat="1" applyFont="1" applyBorder="1" applyAlignment="1">
      <alignment horizontal="center" vertical="center"/>
    </xf>
    <xf numFmtId="164" fontId="5" fillId="7" borderId="6" xfId="6" applyNumberFormat="1" applyFont="1" applyBorder="1" applyAlignment="1">
      <alignment horizontal="center" vertical="center"/>
    </xf>
    <xf numFmtId="164" fontId="5" fillId="7" borderId="7" xfId="6" applyNumberFormat="1" applyFont="1" applyBorder="1" applyAlignment="1">
      <alignment horizontal="center" vertical="center"/>
    </xf>
    <xf numFmtId="164" fontId="5" fillId="7" borderId="0" xfId="6" applyNumberFormat="1" applyFont="1" applyBorder="1" applyAlignment="1">
      <alignment horizontal="center" vertical="center"/>
    </xf>
    <xf numFmtId="164" fontId="5" fillId="7" borderId="8" xfId="6" applyNumberFormat="1" applyFont="1" applyBorder="1" applyAlignment="1">
      <alignment horizontal="center" vertical="center"/>
    </xf>
    <xf numFmtId="164" fontId="5" fillId="7" borderId="9" xfId="6" applyNumberFormat="1" applyFont="1" applyBorder="1" applyAlignment="1">
      <alignment horizontal="center" vertical="center"/>
    </xf>
    <xf numFmtId="164" fontId="5" fillId="7" borderId="10" xfId="6" applyNumberFormat="1" applyFont="1" applyBorder="1" applyAlignment="1">
      <alignment horizontal="center" vertical="center"/>
    </xf>
    <xf numFmtId="164" fontId="5" fillId="7" borderId="11" xfId="6" applyNumberFormat="1" applyFont="1" applyBorder="1" applyAlignment="1">
      <alignment horizontal="center" vertical="center"/>
    </xf>
    <xf numFmtId="0" fontId="2" fillId="2" borderId="0" xfId="1"/>
    <xf numFmtId="14" fontId="0" fillId="0" borderId="0" xfId="0" applyNumberFormat="1"/>
  </cellXfs>
  <cellStyles count="7">
    <cellStyle name="20% - Accent1" xfId="3" builtinId="30"/>
    <cellStyle name="40% - Accent1" xfId="4" builtinId="31"/>
    <cellStyle name="60% - Accent1" xfId="5" builtinId="32"/>
    <cellStyle name="Good" xfId="6" builtinId="26"/>
    <cellStyle name="Input" xfId="2" builtinId="20"/>
    <cellStyle name="Neutral" xfId="1" builtinId="28"/>
    <cellStyle name="Normal" xfId="0" builtinId="0"/>
  </cellStyles>
  <dxfs count="6"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Price</a:t>
            </a:r>
            <a:r>
              <a:rPr lang="nb-NO" baseline="0"/>
              <a:t>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[1]Dashboard!$C$25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[1]Dashboard!$B$26:$B$30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[1]Dashboard!$C$26:$C$30</c:f>
              <c:numCache>
                <c:formatCode>General</c:formatCode>
                <c:ptCount val="5"/>
                <c:pt idx="0">
                  <c:v>3380</c:v>
                </c:pt>
                <c:pt idx="1">
                  <c:v>10664.88</c:v>
                </c:pt>
                <c:pt idx="2">
                  <c:v>9411.33</c:v>
                </c:pt>
                <c:pt idx="3">
                  <c:v>18822.650000000001</c:v>
                </c:pt>
                <c:pt idx="4">
                  <c:v>27528.19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4-418F-A854-DB37840B3B67}"/>
            </c:ext>
          </c:extLst>
        </c:ser>
        <c:ser>
          <c:idx val="1"/>
          <c:order val="1"/>
          <c:tx>
            <c:strRef>
              <c:f>[1]Dashboard!$D$25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[1]Dashboard!$B$26:$B$30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[1]Dashboard!$D$26:$D$30</c:f>
              <c:numCache>
                <c:formatCode>General</c:formatCode>
                <c:ptCount val="5"/>
                <c:pt idx="0">
                  <c:v>3250</c:v>
                </c:pt>
                <c:pt idx="1">
                  <c:v>10241.1</c:v>
                </c:pt>
                <c:pt idx="2">
                  <c:v>9021.84</c:v>
                </c:pt>
                <c:pt idx="3">
                  <c:v>18043.68</c:v>
                </c:pt>
                <c:pt idx="4">
                  <c:v>26388.89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4-418F-A854-DB37840B3B67}"/>
            </c:ext>
          </c:extLst>
        </c:ser>
        <c:ser>
          <c:idx val="2"/>
          <c:order val="2"/>
          <c:tx>
            <c:strRef>
              <c:f>[1]Dashboard!$E$25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[1]Dashboard!$B$26:$B$30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[1]Dashboard!$E$26:$E$30</c:f>
              <c:numCache>
                <c:formatCode>General</c:formatCode>
                <c:ptCount val="5"/>
                <c:pt idx="0">
                  <c:v>3899.99</c:v>
                </c:pt>
                <c:pt idx="1">
                  <c:v>12289.31</c:v>
                </c:pt>
                <c:pt idx="2">
                  <c:v>10826.18</c:v>
                </c:pt>
                <c:pt idx="3">
                  <c:v>21652.36</c:v>
                </c:pt>
                <c:pt idx="4">
                  <c:v>31666.62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4-418F-A854-DB37840B3B67}"/>
            </c:ext>
          </c:extLst>
        </c:ser>
        <c:ser>
          <c:idx val="3"/>
          <c:order val="3"/>
          <c:tx>
            <c:strRef>
              <c:f>[1]Dashboard!$F$25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[1]Dashboard!$B$26:$B$30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[1]Dashboard!$F$26:$F$30</c:f>
              <c:numCache>
                <c:formatCode>General</c:formatCode>
                <c:ptCount val="5"/>
                <c:pt idx="0">
                  <c:v>4420</c:v>
                </c:pt>
                <c:pt idx="1">
                  <c:v>13852.5</c:v>
                </c:pt>
                <c:pt idx="2">
                  <c:v>11852.31</c:v>
                </c:pt>
                <c:pt idx="3">
                  <c:v>23704.6</c:v>
                </c:pt>
                <c:pt idx="4">
                  <c:v>34667.949999999997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4-418F-A854-DB37840B3B67}"/>
            </c:ext>
          </c:extLst>
        </c:ser>
        <c:ser>
          <c:idx val="4"/>
          <c:order val="4"/>
          <c:tx>
            <c:strRef>
              <c:f>[1]Dashboard!$G$25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[1]Dashboard!$B$26:$B$30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[1]Dashboard!$G$26:$G$30</c:f>
              <c:numCache>
                <c:formatCode>General</c:formatCode>
                <c:ptCount val="5"/>
                <c:pt idx="0">
                  <c:v>4940</c:v>
                </c:pt>
                <c:pt idx="1">
                  <c:v>15557.11</c:v>
                </c:pt>
                <c:pt idx="2">
                  <c:v>17354.689999999999</c:v>
                </c:pt>
                <c:pt idx="3">
                  <c:v>34709.42</c:v>
                </c:pt>
                <c:pt idx="4">
                  <c:v>50762.45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34-418F-A854-DB37840B3B67}"/>
            </c:ext>
          </c:extLst>
        </c:ser>
        <c:ser>
          <c:idx val="5"/>
          <c:order val="5"/>
          <c:tx>
            <c:strRef>
              <c:f>[1]Dashboard!$H$25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[1]Dashboard!$B$26:$B$30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[1]Dashboard!$H$26:$H$30</c:f>
              <c:numCache>
                <c:formatCode>General</c:formatCode>
                <c:ptCount val="5"/>
                <c:pt idx="0">
                  <c:v>4030.02</c:v>
                </c:pt>
                <c:pt idx="1">
                  <c:v>12658.57</c:v>
                </c:pt>
                <c:pt idx="2">
                  <c:v>11104.74</c:v>
                </c:pt>
                <c:pt idx="3">
                  <c:v>22209.48</c:v>
                </c:pt>
                <c:pt idx="4">
                  <c:v>32481.39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34-418F-A854-DB37840B3B67}"/>
            </c:ext>
          </c:extLst>
        </c:ser>
        <c:ser>
          <c:idx val="6"/>
          <c:order val="6"/>
          <c:tx>
            <c:strRef>
              <c:f>[1]Dashboard!$I$25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[1]Dashboard!$B$26:$B$30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[1]Dashboard!$I$26:$I$30</c:f>
              <c:numCache>
                <c:formatCode>General</c:formatCode>
                <c:ptCount val="5"/>
                <c:pt idx="0">
                  <c:v>3250</c:v>
                </c:pt>
                <c:pt idx="1">
                  <c:v>10214.77</c:v>
                </c:pt>
                <c:pt idx="2">
                  <c:v>8968.2800000000007</c:v>
                </c:pt>
                <c:pt idx="3">
                  <c:v>17936.53</c:v>
                </c:pt>
                <c:pt idx="4">
                  <c:v>26232.15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34-418F-A854-DB37840B3B67}"/>
            </c:ext>
          </c:extLst>
        </c:ser>
        <c:ser>
          <c:idx val="7"/>
          <c:order val="7"/>
          <c:tx>
            <c:strRef>
              <c:f>[1]Dashboard!$J$25</c:f>
              <c:strCache>
                <c:ptCount val="1"/>
                <c:pt idx="0">
                  <c:v>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[1]Dashboard!$B$26:$B$30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[1]Dashboard!$J$26:$J$30</c:f>
              <c:numCache>
                <c:formatCode>General</c:formatCode>
                <c:ptCount val="5"/>
                <c:pt idx="0">
                  <c:v>4550</c:v>
                </c:pt>
                <c:pt idx="1">
                  <c:v>14269.39</c:v>
                </c:pt>
                <c:pt idx="2">
                  <c:v>12492.01</c:v>
                </c:pt>
                <c:pt idx="3">
                  <c:v>24984.01</c:v>
                </c:pt>
                <c:pt idx="4">
                  <c:v>36539.14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34-418F-A854-DB37840B3B67}"/>
            </c:ext>
          </c:extLst>
        </c:ser>
        <c:ser>
          <c:idx val="8"/>
          <c:order val="8"/>
          <c:tx>
            <c:strRef>
              <c:f>[1]Dashboard!$K$25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[1]Dashboard!$B$26:$B$30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[1]Dashboard!$K$26:$K$30</c:f>
              <c:numCache>
                <c:formatCode>General</c:formatCode>
                <c:ptCount val="5"/>
                <c:pt idx="0">
                  <c:v>5850</c:v>
                </c:pt>
                <c:pt idx="1">
                  <c:v>18236.54</c:v>
                </c:pt>
                <c:pt idx="2">
                  <c:v>15481.71</c:v>
                </c:pt>
                <c:pt idx="3">
                  <c:v>30963.4</c:v>
                </c:pt>
                <c:pt idx="4">
                  <c:v>45283.91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4-418F-A854-DB37840B3B67}"/>
            </c:ext>
          </c:extLst>
        </c:ser>
        <c:ser>
          <c:idx val="9"/>
          <c:order val="9"/>
          <c:tx>
            <c:strRef>
              <c:f>[1]Dashboard!$L$25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[1]Dashboard!$B$26:$B$30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[1]Dashboard!$L$26:$L$30</c:f>
              <c:numCache>
                <c:formatCode>General</c:formatCode>
                <c:ptCount val="5"/>
                <c:pt idx="0">
                  <c:v>7149.99</c:v>
                </c:pt>
                <c:pt idx="1">
                  <c:v>22277.03</c:v>
                </c:pt>
                <c:pt idx="2">
                  <c:v>18896.72</c:v>
                </c:pt>
                <c:pt idx="3">
                  <c:v>37793.43</c:v>
                </c:pt>
                <c:pt idx="4">
                  <c:v>55272.86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34-418F-A854-DB37840B3B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53748848"/>
        <c:axId val="1653751728"/>
      </c:barChart>
      <c:catAx>
        <c:axId val="165374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53751728"/>
        <c:crosses val="autoZero"/>
        <c:auto val="1"/>
        <c:lblAlgn val="ctr"/>
        <c:lblOffset val="100"/>
        <c:noMultiLvlLbl val="0"/>
      </c:catAx>
      <c:valAx>
        <c:axId val="165375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5374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hyperlink" Target="#Billigst_til_Dyrest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19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11A98BA-CA1F-4E3B-B969-273F528D5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314325</xdr:colOff>
      <xdr:row>2</xdr:row>
      <xdr:rowOff>9525</xdr:rowOff>
    </xdr:from>
    <xdr:to>
      <xdr:col>3</xdr:col>
      <xdr:colOff>400050</xdr:colOff>
      <xdr:row>6</xdr:row>
      <xdr:rowOff>171450</xdr:rowOff>
    </xdr:to>
    <xdr:pic macro="[1]!RefreshAll">
      <xdr:nvPicPr>
        <xdr:cNvPr id="6" name="Graphic 5" descr="Repeat with solid fill">
          <a:extLst>
            <a:ext uri="{FF2B5EF4-FFF2-40B4-BE49-F238E27FC236}">
              <a16:creationId xmlns:a16="http://schemas.microsoft.com/office/drawing/2014/main" id="{57566B93-647B-4833-B7D0-BEAC7FCFD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5" y="390525"/>
          <a:ext cx="923925" cy="923925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2</xdr:row>
      <xdr:rowOff>1</xdr:rowOff>
    </xdr:from>
    <xdr:to>
      <xdr:col>7</xdr:col>
      <xdr:colOff>1</xdr:colOff>
      <xdr:row>6</xdr:row>
      <xdr:rowOff>1</xdr:rowOff>
    </xdr:to>
    <xdr:sp macro="" textlink="">
      <xdr:nvSpPr>
        <xdr:cNvPr id="7" name="Rectangle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BE2BA1C-8380-4B89-8FB0-0FA8AD9F2E01}"/>
            </a:ext>
          </a:extLst>
        </xdr:cNvPr>
        <xdr:cNvSpPr/>
      </xdr:nvSpPr>
      <xdr:spPr>
        <a:xfrm>
          <a:off x="3257551" y="381001"/>
          <a:ext cx="1676400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600"/>
            <a:t>Billigst til Dyrest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5</xdr:col>
      <xdr:colOff>0</xdr:colOff>
      <xdr:row>21</xdr:row>
      <xdr:rowOff>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D38F17-EA06-46AF-BD39-E2A22243E431}"/>
            </a:ext>
          </a:extLst>
        </xdr:cNvPr>
        <xdr:cNvSpPr/>
      </xdr:nvSpPr>
      <xdr:spPr>
        <a:xfrm>
          <a:off x="609600" y="3048000"/>
          <a:ext cx="1971675" cy="952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3200"/>
            <a:t>Gå tilbake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evin\Documents\Avis%20Wizard\WizardAPI\Data\Price_2.xlsm" TargetMode="External"/><Relationship Id="rId1" Type="http://schemas.openxmlformats.org/officeDocument/2006/relationships/externalLinkPath" Target="/Users/kevin/Documents/Avis%20Wizard/WizardAPI/Data/Price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Billigst_til_Dyrest"/>
    </sheetNames>
    <definedNames>
      <definedName name="RefreshAll"/>
    </definedNames>
    <sheetDataSet>
      <sheetData sheetId="0">
        <row r="25">
          <cell r="C25" t="str">
            <v>B</v>
          </cell>
          <cell r="D25" t="str">
            <v>C</v>
          </cell>
          <cell r="E25" t="str">
            <v>D</v>
          </cell>
          <cell r="F25" t="str">
            <v>E</v>
          </cell>
          <cell r="G25" t="str">
            <v>H</v>
          </cell>
          <cell r="H25" t="str">
            <v>G</v>
          </cell>
          <cell r="I25" t="str">
            <v>I</v>
          </cell>
          <cell r="J25" t="str">
            <v>K</v>
          </cell>
          <cell r="K25" t="str">
            <v>M</v>
          </cell>
          <cell r="L25" t="str">
            <v>N</v>
          </cell>
        </row>
        <row r="26">
          <cell r="B26" t="str">
            <v>1</v>
          </cell>
          <cell r="C26">
            <v>3380</v>
          </cell>
          <cell r="D26">
            <v>3250</v>
          </cell>
          <cell r="E26">
            <v>3899.99</v>
          </cell>
          <cell r="F26">
            <v>4420</v>
          </cell>
          <cell r="G26">
            <v>4940</v>
          </cell>
          <cell r="H26">
            <v>4030.02</v>
          </cell>
          <cell r="I26">
            <v>3250</v>
          </cell>
          <cell r="J26">
            <v>4550</v>
          </cell>
          <cell r="K26">
            <v>5850</v>
          </cell>
          <cell r="L26">
            <v>7149.99</v>
          </cell>
        </row>
        <row r="27">
          <cell r="B27" t="str">
            <v>4</v>
          </cell>
          <cell r="C27">
            <v>10664.88</v>
          </cell>
          <cell r="D27">
            <v>10241.1</v>
          </cell>
          <cell r="E27">
            <v>12289.31</v>
          </cell>
          <cell r="F27">
            <v>13852.5</v>
          </cell>
          <cell r="G27">
            <v>15557.11</v>
          </cell>
          <cell r="H27">
            <v>12658.57</v>
          </cell>
          <cell r="I27">
            <v>10214.77</v>
          </cell>
          <cell r="J27">
            <v>14269.39</v>
          </cell>
          <cell r="K27">
            <v>18236.54</v>
          </cell>
          <cell r="L27">
            <v>22277.03</v>
          </cell>
        </row>
        <row r="28">
          <cell r="B28" t="str">
            <v>5</v>
          </cell>
          <cell r="C28">
            <v>9411.33</v>
          </cell>
          <cell r="D28">
            <v>9021.84</v>
          </cell>
          <cell r="E28">
            <v>10826.18</v>
          </cell>
          <cell r="F28">
            <v>11852.31</v>
          </cell>
          <cell r="G28">
            <v>17354.689999999999</v>
          </cell>
          <cell r="H28">
            <v>11104.74</v>
          </cell>
          <cell r="I28">
            <v>8968.2800000000007</v>
          </cell>
          <cell r="J28">
            <v>12492.01</v>
          </cell>
          <cell r="K28">
            <v>15481.71</v>
          </cell>
          <cell r="L28">
            <v>18896.72</v>
          </cell>
        </row>
        <row r="29">
          <cell r="B29" t="str">
            <v>14</v>
          </cell>
          <cell r="C29">
            <v>18822.650000000001</v>
          </cell>
          <cell r="D29">
            <v>18043.68</v>
          </cell>
          <cell r="E29">
            <v>21652.36</v>
          </cell>
          <cell r="F29">
            <v>23704.6</v>
          </cell>
          <cell r="G29">
            <v>34709.42</v>
          </cell>
          <cell r="H29">
            <v>22209.48</v>
          </cell>
          <cell r="I29">
            <v>17936.53</v>
          </cell>
          <cell r="J29">
            <v>24984.01</v>
          </cell>
          <cell r="K29">
            <v>30963.4</v>
          </cell>
          <cell r="L29">
            <v>37793.43</v>
          </cell>
        </row>
        <row r="30">
          <cell r="B30" t="str">
            <v>21</v>
          </cell>
          <cell r="C30">
            <v>27528.19</v>
          </cell>
          <cell r="D30">
            <v>26388.89</v>
          </cell>
          <cell r="E30">
            <v>31666.62</v>
          </cell>
          <cell r="F30">
            <v>34667.949999999997</v>
          </cell>
          <cell r="G30">
            <v>50762.45</v>
          </cell>
          <cell r="H30">
            <v>32481.39</v>
          </cell>
          <cell r="I30">
            <v>26232.15</v>
          </cell>
          <cell r="J30">
            <v>36539.14</v>
          </cell>
          <cell r="K30">
            <v>45283.91</v>
          </cell>
          <cell r="L30">
            <v>55272.86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F7ED55-7887-4AE3-B48F-A8577F9D18B1}" name="Updated_Data" displayName="Updated_Data" ref="B9:G19" totalsRowShown="0">
  <autoFilter ref="B9:G19" xr:uid="{27F7ED55-7887-4AE3-B48F-A8577F9D18B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BEA6AB7A-6BC2-45E9-914F-86A53BF8B3BF}" name="LOR" dataDxfId="5"/>
    <tableColumn id="6" xr3:uid="{75BFF8B1-2A5B-4B48-AA05-FED582E2124C}" name="1" dataDxfId="4"/>
    <tableColumn id="2" xr3:uid="{2BDD8544-0CAC-4BA9-8394-FF6DA703FDB2}" name="4" dataDxfId="3"/>
    <tableColumn id="3" xr3:uid="{4F448A88-6127-4499-A29B-8E35173A7419}" name="5" dataDxfId="2"/>
    <tableColumn id="4" xr3:uid="{BF4C69F5-973B-406A-B134-A5CF56F3DF0C}" name="14" dataDxfId="1"/>
    <tableColumn id="5" xr3:uid="{62376AED-A2DC-4CCB-B536-C418E0698593}" name="2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1FB7A-2F56-490D-B302-8FD066910005}">
  <sheetPr codeName="Sheet1"/>
  <dimension ref="B2:L33"/>
  <sheetViews>
    <sheetView tabSelected="1" workbookViewId="0">
      <selection activeCell="O28" sqref="O28"/>
    </sheetView>
  </sheetViews>
  <sheetFormatPr defaultRowHeight="15" x14ac:dyDescent="0.25"/>
  <cols>
    <col min="1" max="1" width="6.7109375" bestFit="1" customWidth="1"/>
    <col min="2" max="2" width="4.42578125" bestFit="1" customWidth="1"/>
    <col min="3" max="6" width="12.5703125" bestFit="1" customWidth="1"/>
    <col min="7" max="7" width="12.5703125" customWidth="1"/>
    <col min="8" max="12" width="12.5703125" bestFit="1" customWidth="1"/>
    <col min="13" max="31" width="10.7109375" customWidth="1"/>
  </cols>
  <sheetData>
    <row r="2" spans="2:7" x14ac:dyDescent="0.25">
      <c r="C2" s="6" t="s">
        <v>15</v>
      </c>
      <c r="D2" s="7"/>
    </row>
    <row r="9" spans="2:7" x14ac:dyDescent="0.25">
      <c r="B9" t="s">
        <v>0</v>
      </c>
      <c r="C9" t="s">
        <v>16</v>
      </c>
      <c r="D9" t="s">
        <v>1</v>
      </c>
      <c r="E9" t="s">
        <v>2</v>
      </c>
      <c r="F9" t="s">
        <v>3</v>
      </c>
      <c r="G9" t="s">
        <v>4</v>
      </c>
    </row>
    <row r="10" spans="2:7" x14ac:dyDescent="0.25">
      <c r="B10" t="s">
        <v>5</v>
      </c>
      <c r="C10" s="1">
        <v>3380</v>
      </c>
      <c r="D10" s="1">
        <v>10664.88</v>
      </c>
      <c r="E10" s="1">
        <v>9411.33</v>
      </c>
      <c r="F10" s="1">
        <v>18822.650000000001</v>
      </c>
      <c r="G10" s="1">
        <v>27528.19</v>
      </c>
    </row>
    <row r="11" spans="2:7" x14ac:dyDescent="0.25">
      <c r="B11" t="s">
        <v>6</v>
      </c>
      <c r="C11" s="1">
        <v>3250</v>
      </c>
      <c r="D11" s="1">
        <v>10241.1</v>
      </c>
      <c r="E11" s="1">
        <v>9021.84</v>
      </c>
      <c r="F11" s="1">
        <v>18043.68</v>
      </c>
      <c r="G11" s="1">
        <v>26388.89</v>
      </c>
    </row>
    <row r="12" spans="2:7" x14ac:dyDescent="0.25">
      <c r="B12" t="s">
        <v>7</v>
      </c>
      <c r="C12" s="1">
        <v>3899.99</v>
      </c>
      <c r="D12" s="1">
        <v>12289.31</v>
      </c>
      <c r="E12" s="1">
        <v>10826.18</v>
      </c>
      <c r="F12" s="1">
        <v>21652.36</v>
      </c>
      <c r="G12" s="1">
        <v>31666.62</v>
      </c>
    </row>
    <row r="13" spans="2:7" x14ac:dyDescent="0.25">
      <c r="B13" t="s">
        <v>8</v>
      </c>
      <c r="C13" s="1">
        <v>4420</v>
      </c>
      <c r="D13" s="1">
        <v>13852.5</v>
      </c>
      <c r="E13" s="1">
        <v>11852.31</v>
      </c>
      <c r="F13" s="1">
        <v>23704.6</v>
      </c>
      <c r="G13" s="1">
        <v>34667.949999999997</v>
      </c>
    </row>
    <row r="14" spans="2:7" x14ac:dyDescent="0.25">
      <c r="B14" t="s">
        <v>9</v>
      </c>
      <c r="C14" s="1">
        <v>4940</v>
      </c>
      <c r="D14" s="1">
        <v>15557.11</v>
      </c>
      <c r="E14" s="1">
        <v>17354.689999999999</v>
      </c>
      <c r="F14" s="1">
        <v>34709.42</v>
      </c>
      <c r="G14" s="1">
        <v>50762.45</v>
      </c>
    </row>
    <row r="15" spans="2:7" x14ac:dyDescent="0.25">
      <c r="B15" t="s">
        <v>10</v>
      </c>
      <c r="C15" s="1">
        <v>4030.02</v>
      </c>
      <c r="D15" s="1">
        <v>12658.57</v>
      </c>
      <c r="E15" s="1">
        <v>11104.74</v>
      </c>
      <c r="F15" s="1">
        <v>22209.48</v>
      </c>
      <c r="G15" s="1">
        <v>32481.39</v>
      </c>
    </row>
    <row r="16" spans="2:7" x14ac:dyDescent="0.25">
      <c r="B16" t="s">
        <v>11</v>
      </c>
      <c r="C16" s="1">
        <v>3250</v>
      </c>
      <c r="D16" s="1">
        <v>10214.77</v>
      </c>
      <c r="E16" s="1">
        <v>8968.2800000000007</v>
      </c>
      <c r="F16" s="1">
        <v>17936.53</v>
      </c>
      <c r="G16" s="1">
        <v>26232.15</v>
      </c>
    </row>
    <row r="17" spans="2:12" x14ac:dyDescent="0.25">
      <c r="B17" t="s">
        <v>12</v>
      </c>
      <c r="C17" s="1">
        <v>4550</v>
      </c>
      <c r="D17" s="1">
        <v>14269.39</v>
      </c>
      <c r="E17" s="1">
        <v>12492.01</v>
      </c>
      <c r="F17" s="1">
        <v>24984.01</v>
      </c>
      <c r="G17" s="1">
        <v>36539.14</v>
      </c>
    </row>
    <row r="18" spans="2:12" x14ac:dyDescent="0.25">
      <c r="B18" t="s">
        <v>13</v>
      </c>
      <c r="C18" s="1">
        <v>5850</v>
      </c>
      <c r="D18" s="1">
        <v>18236.54</v>
      </c>
      <c r="E18" s="1">
        <v>15481.71</v>
      </c>
      <c r="F18" s="1">
        <v>30963.4</v>
      </c>
      <c r="G18" s="1">
        <v>45283.91</v>
      </c>
    </row>
    <row r="19" spans="2:12" x14ac:dyDescent="0.25">
      <c r="B19" t="s">
        <v>14</v>
      </c>
      <c r="C19" s="1">
        <v>7149.99</v>
      </c>
      <c r="D19" s="1">
        <v>22277.03</v>
      </c>
      <c r="E19" s="1">
        <v>18896.72</v>
      </c>
      <c r="F19" s="1">
        <v>37793.43</v>
      </c>
      <c r="G19" s="1">
        <v>55272.86</v>
      </c>
    </row>
    <row r="21" spans="2:12" x14ac:dyDescent="0.25">
      <c r="B21" s="8" cm="1">
        <f t="array" ref="B21">DATE(2000 + RIGHT(MID(ExtractText("C:\Users\kevin\Documents\Avis Wizard\AvisFleetTool\WizardAPI\HLLAPI\Price\Date.txt",1),1,7), 2), _xlfn.SWITCH(MID(MID(ExtractText("C:\Users\kevin\Documents\Avis Wizard\AvisFleetTool\WizardAPI\HLLAPI\Price\Date.txt",1),1,7), 3, 3), "JAN", 1, "FEB", 2, "MAR", 3, "APR", 4, "MAY", 5, "JUN", 6, "JUL", 7, "AUG", 8, "SEP", 9, "OCT", 10, "NOV", 11, "DEC", 12), LEFT(MID(ExtractText("C:\Users\kevin\Documents\Avis Wizard\AvisFleetTool\WizardAPI\HLLAPI\Price\Date.txt",1),1,7), 2))</f>
        <v>45627</v>
      </c>
      <c r="C21" s="9"/>
      <c r="D21" s="9"/>
      <c r="E21" s="9"/>
      <c r="F21" s="9"/>
      <c r="G21" s="10"/>
    </row>
    <row r="22" spans="2:12" x14ac:dyDescent="0.25">
      <c r="B22" s="11"/>
      <c r="C22" s="12"/>
      <c r="D22" s="12"/>
      <c r="E22" s="12"/>
      <c r="F22" s="12"/>
      <c r="G22" s="13"/>
    </row>
    <row r="23" spans="2:12" x14ac:dyDescent="0.25">
      <c r="B23" s="14"/>
      <c r="C23" s="15"/>
      <c r="D23" s="15"/>
      <c r="E23" s="15"/>
      <c r="F23" s="15"/>
      <c r="G23" s="16"/>
    </row>
    <row r="25" spans="2:12" x14ac:dyDescent="0.25">
      <c r="B25" s="17" t="str" cm="1">
        <f t="array" ref="B25:L30">TRANSPOSE(Updated_Data[#All])</f>
        <v>LOR</v>
      </c>
      <c r="C25" s="2" t="str">
        <v>B</v>
      </c>
      <c r="D25" s="2" t="str">
        <v>C</v>
      </c>
      <c r="E25" s="2" t="str">
        <v>D</v>
      </c>
      <c r="F25" s="2" t="str">
        <v>E</v>
      </c>
      <c r="G25" s="2" t="str">
        <v>H</v>
      </c>
      <c r="H25" s="2" t="str">
        <v>G</v>
      </c>
      <c r="I25" s="2" t="str">
        <v>I</v>
      </c>
      <c r="J25" s="2" t="str">
        <v>K</v>
      </c>
      <c r="K25" s="2" t="str">
        <v>M</v>
      </c>
      <c r="L25" s="2" t="str">
        <v>N</v>
      </c>
    </row>
    <row r="26" spans="2:12" x14ac:dyDescent="0.25">
      <c r="B26" s="17" t="str">
        <v>1</v>
      </c>
      <c r="C26" s="1">
        <v>3380</v>
      </c>
      <c r="D26" s="1">
        <v>3250</v>
      </c>
      <c r="E26" s="1">
        <v>3899.99</v>
      </c>
      <c r="F26" s="1">
        <v>4420</v>
      </c>
      <c r="G26" s="1">
        <v>4940</v>
      </c>
      <c r="H26" s="1">
        <v>4030.02</v>
      </c>
      <c r="I26" s="1">
        <v>3250</v>
      </c>
      <c r="J26" s="1">
        <v>4550</v>
      </c>
      <c r="K26" s="1">
        <v>5850</v>
      </c>
      <c r="L26" s="1">
        <v>7149.99</v>
      </c>
    </row>
    <row r="27" spans="2:12" x14ac:dyDescent="0.25">
      <c r="B27" s="17" t="str">
        <v>4</v>
      </c>
      <c r="C27" s="1">
        <v>10664.88</v>
      </c>
      <c r="D27" s="1">
        <v>10241.1</v>
      </c>
      <c r="E27" s="1">
        <v>12289.31</v>
      </c>
      <c r="F27" s="1">
        <v>13852.5</v>
      </c>
      <c r="G27" s="1">
        <v>15557.11</v>
      </c>
      <c r="H27" s="1">
        <v>12658.57</v>
      </c>
      <c r="I27" s="1">
        <v>10214.77</v>
      </c>
      <c r="J27" s="1">
        <v>14269.39</v>
      </c>
      <c r="K27" s="1">
        <v>18236.54</v>
      </c>
      <c r="L27" s="1">
        <v>22277.03</v>
      </c>
    </row>
    <row r="28" spans="2:12" x14ac:dyDescent="0.25">
      <c r="B28" s="17" t="str">
        <v>5</v>
      </c>
      <c r="C28" s="1">
        <v>9411.33</v>
      </c>
      <c r="D28" s="1">
        <v>9021.84</v>
      </c>
      <c r="E28" s="1">
        <v>10826.18</v>
      </c>
      <c r="F28" s="1">
        <v>11852.31</v>
      </c>
      <c r="G28" s="1">
        <v>17354.689999999999</v>
      </c>
      <c r="H28" s="1">
        <v>11104.74</v>
      </c>
      <c r="I28" s="1">
        <v>8968.2800000000007</v>
      </c>
      <c r="J28" s="1">
        <v>12492.01</v>
      </c>
      <c r="K28" s="1">
        <v>15481.71</v>
      </c>
      <c r="L28" s="1">
        <v>18896.72</v>
      </c>
    </row>
    <row r="29" spans="2:12" x14ac:dyDescent="0.25">
      <c r="B29" s="17" t="str">
        <v>14</v>
      </c>
      <c r="C29" s="1">
        <v>18822.650000000001</v>
      </c>
      <c r="D29" s="1">
        <v>18043.68</v>
      </c>
      <c r="E29" s="1">
        <v>21652.36</v>
      </c>
      <c r="F29" s="1">
        <v>23704.6</v>
      </c>
      <c r="G29" s="1">
        <v>34709.42</v>
      </c>
      <c r="H29" s="1">
        <v>22209.48</v>
      </c>
      <c r="I29" s="1">
        <v>17936.53</v>
      </c>
      <c r="J29" s="1">
        <v>24984.01</v>
      </c>
      <c r="K29" s="1">
        <v>30963.4</v>
      </c>
      <c r="L29" s="1">
        <v>37793.43</v>
      </c>
    </row>
    <row r="30" spans="2:12" x14ac:dyDescent="0.25">
      <c r="B30" s="17" t="str">
        <v>21</v>
      </c>
      <c r="C30" s="1">
        <v>27528.19</v>
      </c>
      <c r="D30" s="1">
        <v>26388.89</v>
      </c>
      <c r="E30" s="1">
        <v>31666.62</v>
      </c>
      <c r="F30" s="1">
        <v>34667.949999999997</v>
      </c>
      <c r="G30" s="1">
        <v>50762.45</v>
      </c>
      <c r="H30" s="1">
        <v>32481.39</v>
      </c>
      <c r="I30" s="1">
        <v>26232.15</v>
      </c>
      <c r="J30" s="1">
        <v>36539.14</v>
      </c>
      <c r="K30" s="1">
        <v>45283.91</v>
      </c>
      <c r="L30" s="1">
        <v>55272.86</v>
      </c>
    </row>
    <row r="33" spans="2:2" x14ac:dyDescent="0.25">
      <c r="B33" s="18"/>
    </row>
  </sheetData>
  <mergeCells count="2">
    <mergeCell ref="C2:D2"/>
    <mergeCell ref="B21:G23"/>
  </mergeCells>
  <conditionalFormatting sqref="D10:D19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0:E19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0:F1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0:G1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C1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L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L2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L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L2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L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O12"/>
  <sheetViews>
    <sheetView workbookViewId="0">
      <selection activeCell="F19" sqref="F19"/>
    </sheetView>
  </sheetViews>
  <sheetFormatPr defaultRowHeight="15" x14ac:dyDescent="0.25"/>
  <cols>
    <col min="2" max="2" width="4.42578125" bestFit="1" customWidth="1"/>
    <col min="3" max="3" width="11.5703125" bestFit="1" customWidth="1"/>
    <col min="5" max="5" width="4.42578125" bestFit="1" customWidth="1"/>
    <col min="6" max="6" width="12.5703125" bestFit="1" customWidth="1"/>
    <col min="8" max="8" width="4.42578125" bestFit="1" customWidth="1"/>
    <col min="9" max="9" width="12.5703125" bestFit="1" customWidth="1"/>
    <col min="11" max="11" width="4.42578125" bestFit="1" customWidth="1"/>
    <col min="12" max="12" width="12.5703125" bestFit="1" customWidth="1"/>
    <col min="14" max="14" width="4.42578125" bestFit="1" customWidth="1"/>
    <col min="15" max="15" width="12.5703125" bestFit="1" customWidth="1"/>
  </cols>
  <sheetData>
    <row r="2" spans="2:15" x14ac:dyDescent="0.25">
      <c r="B2" s="5" t="s">
        <v>0</v>
      </c>
      <c r="C2" s="5">
        <v>1</v>
      </c>
      <c r="E2" s="5" t="s">
        <v>0</v>
      </c>
      <c r="F2" s="5">
        <v>4</v>
      </c>
      <c r="H2" s="5" t="s">
        <v>0</v>
      </c>
      <c r="I2" s="5">
        <v>5</v>
      </c>
      <c r="K2" s="5" t="s">
        <v>0</v>
      </c>
      <c r="L2" s="5">
        <v>14</v>
      </c>
      <c r="N2" s="5" t="s">
        <v>0</v>
      </c>
      <c r="O2" s="5">
        <v>21</v>
      </c>
    </row>
    <row r="3" spans="2:15" x14ac:dyDescent="0.25">
      <c r="B3" s="3" t="str" cm="1">
        <f t="array" ref="B3:B12">_xlfn.SORTBY([1]!Updated_Data[LOR],[1]!Updated_Data[4],1)</f>
        <v>I</v>
      </c>
      <c r="C3" s="4" cm="1">
        <f t="array" ref="C3:C12">_xlfn._xlws.SORT([1]!Updated_Data[1],1,TRUE)</f>
        <v>3250</v>
      </c>
      <c r="E3" s="3" t="str" cm="1">
        <f t="array" ref="E3:E12">_xlfn.SORTBY([1]!Updated_Data[LOR],[1]!Updated_Data[4],1)</f>
        <v>I</v>
      </c>
      <c r="F3" s="4" cm="1">
        <f t="array" ref="F3:F12">_xlfn._xlws.SORT([1]!Updated_Data[4],1,TRUE)</f>
        <v>10214.77</v>
      </c>
      <c r="H3" s="3" t="str" cm="1">
        <f t="array" ref="H3:H12">_xlfn.SORTBY([1]!Updated_Data[LOR],[1]!Updated_Data[5],1)</f>
        <v>I</v>
      </c>
      <c r="I3" s="4" cm="1">
        <f t="array" ref="I3:I12">_xlfn._xlws.SORT([1]!Updated_Data[5],1,TRUE)</f>
        <v>8968.2800000000007</v>
      </c>
      <c r="K3" s="3" t="str" cm="1">
        <f t="array" ref="K3:K12">_xlfn.SORTBY([1]!Updated_Data[LOR],[1]!Updated_Data[14],1)</f>
        <v>I</v>
      </c>
      <c r="L3" s="4" cm="1">
        <f t="array" ref="L3:L12">_xlfn._xlws.SORT([1]!Updated_Data[14],1,TRUE)</f>
        <v>17936.53</v>
      </c>
      <c r="N3" s="3" t="str" cm="1">
        <f t="array" ref="N3:N12">_xlfn.SORTBY([1]!Updated_Data[LOR],[1]!Updated_Data[21],1)</f>
        <v>I</v>
      </c>
      <c r="O3" s="4" cm="1">
        <f t="array" ref="O3:O12">_xlfn._xlws.SORT([1]!Updated_Data[21],1,TRUE)</f>
        <v>26232.15</v>
      </c>
    </row>
    <row r="4" spans="2:15" x14ac:dyDescent="0.25">
      <c r="B4" s="3" t="str">
        <v>C</v>
      </c>
      <c r="C4" s="4">
        <v>3250</v>
      </c>
      <c r="E4" s="3" t="str">
        <v>C</v>
      </c>
      <c r="F4" s="4">
        <v>10241.1</v>
      </c>
      <c r="H4" s="3" t="str">
        <v>C</v>
      </c>
      <c r="I4" s="4">
        <v>9021.84</v>
      </c>
      <c r="K4" s="3" t="str">
        <v>C</v>
      </c>
      <c r="L4" s="4">
        <v>18043.68</v>
      </c>
      <c r="N4" s="3" t="str">
        <v>C</v>
      </c>
      <c r="O4" s="4">
        <v>26388.89</v>
      </c>
    </row>
    <row r="5" spans="2:15" x14ac:dyDescent="0.25">
      <c r="B5" s="3" t="str">
        <v>B</v>
      </c>
      <c r="C5" s="4">
        <v>3380</v>
      </c>
      <c r="E5" s="3" t="str">
        <v>B</v>
      </c>
      <c r="F5" s="4">
        <v>10664.88</v>
      </c>
      <c r="H5" s="3" t="str">
        <v>B</v>
      </c>
      <c r="I5" s="4">
        <v>9411.33</v>
      </c>
      <c r="K5" s="3" t="str">
        <v>B</v>
      </c>
      <c r="L5" s="4">
        <v>18822.650000000001</v>
      </c>
      <c r="N5" s="3" t="str">
        <v>B</v>
      </c>
      <c r="O5" s="4">
        <v>27528.19</v>
      </c>
    </row>
    <row r="6" spans="2:15" x14ac:dyDescent="0.25">
      <c r="B6" s="3" t="str">
        <v>D</v>
      </c>
      <c r="C6" s="4">
        <v>3899.99</v>
      </c>
      <c r="E6" s="3" t="str">
        <v>D</v>
      </c>
      <c r="F6" s="4">
        <v>12289.31</v>
      </c>
      <c r="H6" s="3" t="str">
        <v>D</v>
      </c>
      <c r="I6" s="4">
        <v>10826.18</v>
      </c>
      <c r="K6" s="3" t="str">
        <v>D</v>
      </c>
      <c r="L6" s="4">
        <v>21652.36</v>
      </c>
      <c r="N6" s="3" t="str">
        <v>D</v>
      </c>
      <c r="O6" s="4">
        <v>31666.62</v>
      </c>
    </row>
    <row r="7" spans="2:15" x14ac:dyDescent="0.25">
      <c r="B7" s="3" t="str">
        <v>G</v>
      </c>
      <c r="C7" s="4">
        <v>4030.02</v>
      </c>
      <c r="E7" s="3" t="str">
        <v>G</v>
      </c>
      <c r="F7" s="4">
        <v>12658.57</v>
      </c>
      <c r="H7" s="3" t="str">
        <v>G</v>
      </c>
      <c r="I7" s="4">
        <v>11104.74</v>
      </c>
      <c r="K7" s="3" t="str">
        <v>G</v>
      </c>
      <c r="L7" s="4">
        <v>22209.48</v>
      </c>
      <c r="N7" s="3" t="str">
        <v>G</v>
      </c>
      <c r="O7" s="4">
        <v>32481.39</v>
      </c>
    </row>
    <row r="8" spans="2:15" x14ac:dyDescent="0.25">
      <c r="B8" s="3" t="str">
        <v>E</v>
      </c>
      <c r="C8" s="4">
        <v>4420</v>
      </c>
      <c r="E8" s="3" t="str">
        <v>E</v>
      </c>
      <c r="F8" s="4">
        <v>13852.5</v>
      </c>
      <c r="H8" s="3" t="str">
        <v>E</v>
      </c>
      <c r="I8" s="4">
        <v>11852.31</v>
      </c>
      <c r="K8" s="3" t="str">
        <v>E</v>
      </c>
      <c r="L8" s="4">
        <v>23704.6</v>
      </c>
      <c r="N8" s="3" t="str">
        <v>E</v>
      </c>
      <c r="O8" s="4">
        <v>34667.949999999997</v>
      </c>
    </row>
    <row r="9" spans="2:15" x14ac:dyDescent="0.25">
      <c r="B9" s="3" t="str">
        <v>K</v>
      </c>
      <c r="C9" s="4">
        <v>4550</v>
      </c>
      <c r="E9" s="3" t="str">
        <v>K</v>
      </c>
      <c r="F9" s="4">
        <v>14269.39</v>
      </c>
      <c r="H9" s="3" t="str">
        <v>K</v>
      </c>
      <c r="I9" s="4">
        <v>12492.01</v>
      </c>
      <c r="K9" s="3" t="str">
        <v>K</v>
      </c>
      <c r="L9" s="4">
        <v>24984.01</v>
      </c>
      <c r="N9" s="3" t="str">
        <v>K</v>
      </c>
      <c r="O9" s="4">
        <v>36539.14</v>
      </c>
    </row>
    <row r="10" spans="2:15" x14ac:dyDescent="0.25">
      <c r="B10" s="3" t="str">
        <v>H</v>
      </c>
      <c r="C10" s="4">
        <v>4940</v>
      </c>
      <c r="E10" s="3" t="str">
        <v>H</v>
      </c>
      <c r="F10" s="4">
        <v>15557.11</v>
      </c>
      <c r="H10" s="3" t="str">
        <v>M</v>
      </c>
      <c r="I10" s="4">
        <v>15481.71</v>
      </c>
      <c r="K10" s="3" t="str">
        <v>M</v>
      </c>
      <c r="L10" s="4">
        <v>30963.4</v>
      </c>
      <c r="N10" s="3" t="str">
        <v>M</v>
      </c>
      <c r="O10" s="4">
        <v>45283.91</v>
      </c>
    </row>
    <row r="11" spans="2:15" x14ac:dyDescent="0.25">
      <c r="B11" s="3" t="str">
        <v>M</v>
      </c>
      <c r="C11" s="4">
        <v>5850</v>
      </c>
      <c r="E11" s="3" t="str">
        <v>M</v>
      </c>
      <c r="F11" s="4">
        <v>18236.54</v>
      </c>
      <c r="H11" s="3" t="str">
        <v>H</v>
      </c>
      <c r="I11" s="4">
        <v>17354.689999999999</v>
      </c>
      <c r="K11" s="3" t="str">
        <v>H</v>
      </c>
      <c r="L11" s="4">
        <v>34709.42</v>
      </c>
      <c r="N11" s="3" t="str">
        <v>H</v>
      </c>
      <c r="O11" s="4">
        <v>50762.45</v>
      </c>
    </row>
    <row r="12" spans="2:15" x14ac:dyDescent="0.25">
      <c r="B12" s="3" t="str">
        <v>N</v>
      </c>
      <c r="C12" s="4">
        <v>7149.99</v>
      </c>
      <c r="E12" s="3" t="str">
        <v>N</v>
      </c>
      <c r="F12" s="4">
        <v>22277.03</v>
      </c>
      <c r="H12" s="3" t="str">
        <v>N</v>
      </c>
      <c r="I12" s="4">
        <v>18896.72</v>
      </c>
      <c r="K12" s="3" t="str">
        <v>N</v>
      </c>
      <c r="L12" s="4">
        <v>37793.43</v>
      </c>
      <c r="N12" s="3" t="str">
        <v>N</v>
      </c>
      <c r="O12" s="4">
        <v>55272.86</v>
      </c>
    </row>
  </sheetData>
  <conditionalFormatting sqref="F3:F1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C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863272-0ECD-4516-9894-E44BE0D7A1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Billigst_til_Dyrest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Hart</dc:creator>
  <cp:lastModifiedBy>Kevin Mathias Bergan</cp:lastModifiedBy>
  <dcterms:created xsi:type="dcterms:W3CDTF">2015-06-05T18:17:20Z</dcterms:created>
  <dcterms:modified xsi:type="dcterms:W3CDTF">2024-11-30T08:41:24Z</dcterms:modified>
</cp:coreProperties>
</file>